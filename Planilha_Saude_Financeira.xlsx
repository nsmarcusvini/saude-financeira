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ntradas" sheetId="2" state="visible" r:id="rId4"/>
    <sheet name="Saídas" sheetId="3" state="visible" r:id="rId5"/>
    <sheet name="Empréstimos" sheetId="4" state="visible" r:id="rId6"/>
    <sheet name="Projeção 5 anos" sheetId="5" state="visible" r:id="rId7"/>
    <sheet name="Categori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<sst xmlns="http://schemas.openxmlformats.org/spreadsheetml/2006/main" count="218" uniqueCount="138">
  <si>
    <t xml:space="preserve">  Painel de Saúde Financeira — Visão Mensal e Anual</t>
  </si>
  <si>
    <t xml:space="preserve">  Atualize Entradas, Saídas e Empréstimos. Tudo aqui é dinâmico.</t>
  </si>
  <si>
    <t xml:space="preserve">  Indicadores-chave (anual)</t>
  </si>
  <si>
    <t xml:space="preserve">Entradas (ano)</t>
  </si>
  <si>
    <t xml:space="preserve">Saídas (ano)</t>
  </si>
  <si>
    <t xml:space="preserve">Parcelas dívidas (ano)</t>
  </si>
  <si>
    <t xml:space="preserve">Sobra anual</t>
  </si>
  <si>
    <t xml:space="preserve">  Saúde Financeira — Razões e Comprometimento</t>
  </si>
  <si>
    <t xml:space="preserve">Taxa de poupança (sobra / entradas)</t>
  </si>
  <si>
    <t xml:space="preserve">≥ 20% = saudável | 10-20% = atenção | &lt; 10% = revisar</t>
  </si>
  <si>
    <t xml:space="preserve">% comprometimento com dívidas</t>
  </si>
  <si>
    <t xml:space="preserve">≤ 30% = saudável | 30-50% = atenção | &gt; 50% = perigo</t>
  </si>
  <si>
    <t xml:space="preserve">% gastos fixos sobre entradas</t>
  </si>
  <si>
    <t xml:space="preserve">≤ 50% = saudável | 50-70% = atenção | &gt; 70% = pesado</t>
  </si>
  <si>
    <t xml:space="preserve">% gastos variáveis sobre entradas</t>
  </si>
  <si>
    <t xml:space="preserve">Idealmente ≤ 30%</t>
  </si>
  <si>
    <t xml:space="preserve">Reserva em meses de despesa (Patrimônio / despesa mensal)</t>
  </si>
  <si>
    <t xml:space="preserve">Meta: 6 a 12 meses</t>
  </si>
  <si>
    <t xml:space="preserve">  Fluxo Mensal (R$)</t>
  </si>
  <si>
    <t xml:space="preserve">Mês</t>
  </si>
  <si>
    <t xml:space="preserve">Entradas</t>
  </si>
  <si>
    <t xml:space="preserve">Saídas</t>
  </si>
  <si>
    <t xml:space="preserve">Parcelas Dívidas</t>
  </si>
  <si>
    <t xml:space="preserve">Sobra</t>
  </si>
  <si>
    <t xml:space="preserve">Acumulado</t>
  </si>
  <si>
    <t xml:space="preserve">% Poupança</t>
  </si>
  <si>
    <t xml:space="preserve">Status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</si>
  <si>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</si>
  <si>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</si>
  <si>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</si>
  <si>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</si>
  <si>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</si>
  <si>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</si>
  <si>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</si>
  <si>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</si>
  <si>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</si>
  <si>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</si>
  <si>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</si>
  <si>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</si>
  <si>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</si>
  <si>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  Insights Automáticos</t>
  </si>
  <si>
    <t xml:space="preserve">  Entradas Mensais (R$) — Edite as células azuis</t>
  </si>
  <si>
    <t xml:space="preserve">Ano:</t>
  </si>
  <si>
    <t xml:space="preserve">Categoria</t>
  </si>
  <si>
    <t xml:space="preserve">Total Ano</t>
  </si>
  <si>
    <t xml:space="preserve">Salário CLT</t>
  </si>
  <si>
    <t xml:space="preserve">Pró-labore</t>
  </si>
  <si>
    <t xml:space="preserve">Freelance / PJ</t>
  </si>
  <si>
    <t xml:space="preserve">Aluguel recebido</t>
  </si>
  <si>
    <t xml:space="preserve">Dividendos / JCP</t>
  </si>
  <si>
    <t xml:space="preserve">Rendimentos RF</t>
  </si>
  <si>
    <t xml:space="preserve">13º Salário</t>
  </si>
  <si>
    <t xml:space="preserve">Férias</t>
  </si>
  <si>
    <t xml:space="preserve">Bônus / PLR</t>
  </si>
  <si>
    <t xml:space="preserve">Restituição IR</t>
  </si>
  <si>
    <t xml:space="preserve">Outros</t>
  </si>
  <si>
    <t xml:space="preserve">TOTAL ENTRADAS</t>
  </si>
  <si>
    <t xml:space="preserve">Média mensal</t>
  </si>
  <si>
    <t xml:space="preserve">  Saídas Mensais (R$) — Despesas Fixas e Variáveis</t>
  </si>
  <si>
    <t xml:space="preserve">  DESPESAS FIXAS</t>
  </si>
  <si>
    <t xml:space="preserve">Aluguel / Financiamento</t>
  </si>
  <si>
    <t xml:space="preserve">Condomínio</t>
  </si>
  <si>
    <t xml:space="preserve">IPTU</t>
  </si>
  <si>
    <t xml:space="preserve">Energia</t>
  </si>
  <si>
    <t xml:space="preserve">Água</t>
  </si>
  <si>
    <t xml:space="preserve">Internet</t>
  </si>
  <si>
    <t xml:space="preserve">Telefone / Celular</t>
  </si>
  <si>
    <t xml:space="preserve">Plano de Saúde</t>
  </si>
  <si>
    <t xml:space="preserve">Academia</t>
  </si>
  <si>
    <t xml:space="preserve">Streaming (Netflix etc.)</t>
  </si>
  <si>
    <t xml:space="preserve">Escola / Faculdade</t>
  </si>
  <si>
    <t xml:space="preserve">Seguro Carro</t>
  </si>
  <si>
    <t xml:space="preserve">Seguro Vida</t>
  </si>
  <si>
    <t xml:space="preserve">Mensalidades</t>
  </si>
  <si>
    <t xml:space="preserve">Subtotal Fixas</t>
  </si>
  <si>
    <t xml:space="preserve">  DESPESAS VARIÁVEIS</t>
  </si>
  <si>
    <t xml:space="preserve">Supermercado</t>
  </si>
  <si>
    <t xml:space="preserve">Restaurantes / Delivery</t>
  </si>
  <si>
    <t xml:space="preserve">Transporte / Combustível</t>
  </si>
  <si>
    <t xml:space="preserve">Uber / 99</t>
  </si>
  <si>
    <t xml:space="preserve">Lazer / Cinema</t>
  </si>
  <si>
    <t xml:space="preserve">Viagens</t>
  </si>
  <si>
    <t xml:space="preserve">Roupas / Vestuário</t>
  </si>
  <si>
    <t xml:space="preserve">Farmácia / Saúde</t>
  </si>
  <si>
    <t xml:space="preserve">Presentes</t>
  </si>
  <si>
    <t xml:space="preserve">Pets</t>
  </si>
  <si>
    <t xml:space="preserve">Educação / Cursos</t>
  </si>
  <si>
    <t xml:space="preserve">Reparos / Manutenção</t>
  </si>
  <si>
    <t xml:space="preserve">Impostos</t>
  </si>
  <si>
    <t xml:space="preserve">Imprevistos</t>
  </si>
  <si>
    <t xml:space="preserve">Subtotal Variáveis</t>
  </si>
  <si>
    <t xml:space="preserve">TOTAL SAÍDAS</t>
  </si>
  <si>
    <t xml:space="preserve">  Empréstimos e Financiamentos</t>
  </si>
  <si>
    <t xml:space="preserve">  Cadastre cada dívida abaixo. As parcelas mensais serão somadas e refletidas no Dashboard e na Projeção.</t>
  </si>
  <si>
    <t xml:space="preserve">Descrição</t>
  </si>
  <si>
    <t xml:space="preserve">Tipo</t>
  </si>
  <si>
    <t xml:space="preserve">Valor Original (R$)</t>
  </si>
  <si>
    <t xml:space="preserve">Saldo Devedor Atual (R$)</t>
  </si>
  <si>
    <t xml:space="preserve">Taxa Juros a.m. (%)</t>
  </si>
  <si>
    <t xml:space="preserve">Parcela Mensal (R$)</t>
  </si>
  <si>
    <t xml:space="preserve">Parcelas Restantes</t>
  </si>
  <si>
    <t xml:space="preserve">Total a Pagar (R$)</t>
  </si>
  <si>
    <t xml:space="preserve">Juros a Pagar (R$)</t>
  </si>
  <si>
    <t xml:space="preserve">TOTAIS</t>
  </si>
  <si>
    <t xml:space="preserve">  Indicadores de Endividamento</t>
  </si>
  <si>
    <t xml:space="preserve">Parcela mensal total (todas dívidas)</t>
  </si>
  <si>
    <t xml:space="preserve">Saldo devedor consolidado</t>
  </si>
  <si>
    <t xml:space="preserve">Juros a pagar (consolidado)</t>
  </si>
  <si>
    <t xml:space="preserve">% do juros sobre saldo devedor</t>
  </si>
  <si>
    <t xml:space="preserve">% comprometimento da renda mensal</t>
  </si>
  <si>
    <t xml:space="preserve">  Projeção de Longo Prazo — 5 anos</t>
  </si>
  <si>
    <t xml:space="preserve">  Premissas (edite as células amarelas)</t>
  </si>
  <si>
    <t xml:space="preserve">Inflação anual estimada</t>
  </si>
  <si>
    <t xml:space="preserve">Crescimento real da renda (a.a.)</t>
  </si>
  <si>
    <t xml:space="preserve">Rentabilidade dos investimentos (a.a.)</t>
  </si>
  <si>
    <t xml:space="preserve">% poupado do superávit mensal</t>
  </si>
  <si>
    <t xml:space="preserve">Patrimônio inicial investido (R$)</t>
  </si>
  <si>
    <t xml:space="preserve">Ano</t>
  </si>
  <si>
    <t xml:space="preserve">Entradas Anuais</t>
  </si>
  <si>
    <t xml:space="preserve">Saídas Anuais</t>
  </si>
  <si>
    <t xml:space="preserve">Superávit / Déficit</t>
  </si>
  <si>
    <t xml:space="preserve">Aporte Anual</t>
  </si>
  <si>
    <t xml:space="preserve">Patrimônio Acumulado</t>
  </si>
  <si>
    <t xml:space="preserve">Δ vs Ano 1</t>
  </si>
  <si>
    <t xml:space="preserve">  Categorias de Referência (edite livremente)</t>
  </si>
  <si>
    <t xml:space="preserve">Tipo Entrada</t>
  </si>
  <si>
    <t xml:space="preserve">Tipo Saída Fixa</t>
  </si>
  <si>
    <t xml:space="preserve">Tipo Saída Variável</t>
  </si>
  <si>
    <t xml:space="preserve">Tipo Empréstimo</t>
  </si>
  <si>
    <t xml:space="preserve">Financiamento Imóvel</t>
  </si>
  <si>
    <t xml:space="preserve">Financiamento Veículo</t>
  </si>
  <si>
    <t xml:space="preserve">Empréstimo Pessoal</t>
  </si>
  <si>
    <t xml:space="preserve">Cartão de Crédito (parcelado)</t>
  </si>
  <si>
    <t xml:space="preserve">Cheque Especial</t>
  </si>
  <si>
    <t xml:space="preserve">Consignado</t>
  </si>
  <si>
    <t xml:space="preserve">FGTS antecipado</t>
  </si>
  <si>
    <t xml:space="preserve">CDC</t>
  </si>
  <si>
    <t xml:space="preserve">Vendas / Outros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</si>
</sst>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[RED]&quot;(R$ &quot;#,##0.00\);\-"/>
    <numFmt numFmtId="166" formatCode="0.0%;[RED]\(0.0%\);\-"/>
    <numFmt numFmtId="167" formatCode="0.0&quot; meses&quot;"/>
    <numFmt numFmtId="168" formatCode="0;[RED]\(0\);\-"/>
    <numFmt numFmtId="169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95959"/>
        <bgColor rgb="FF416A9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E699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699"/>
      <rgbColor rgb="FFAABAD7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416A9C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Entradas vs Saídas Mensais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416A9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Dashboard!$B$16:$B$27</c:f>
              <c:numCache>
                <c:formatCode>"R$ "#,##0.00;[RED]"(R$ 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Dashboard!C15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Dashboard!$C$16:$C$27</c:f>
              <c:numCache>
                <c:formatCode>"R$ "#,##0.00;[RED]"(R$ 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Dashboard!D15</c:f>
              <c:strCache>
                <c:ptCount val="1"/>
                <c:pt idx="0">
                  <c:v>Parcelas Dívidas</c:v>
                </c:pt>
              </c:strCache>
            </c:strRef>
          </c:tx>
          <c:spPr>
            <a:solidFill>
              <a:srgbClr val="AABAD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Dashboard!$D$16:$D$27</c:f>
              <c:numCache>
                <c:formatCode>"R$ "#,##0.00;[RED]"(R$ 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8140132"/>
        <c:axId val="55960270"/>
      </c:barChart>
      <c:catAx>
        <c:axId val="18140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60270"/>
        <c:crosses val="autoZero"/>
        <c:auto val="1"/>
        <c:lblAlgn val="ctr"/>
        <c:lblOffset val="100"/>
        <c:noMultiLvlLbl val="0"/>
      </c:catAx>
      <c:valAx>
        <c:axId val="55960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401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Acumulado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Dashboard!F15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Dashboard!$F$16:$F$27</c:f>
              <c:numCache>
                <c:formatCode>"R$ "#,##0.00;[RED]"(R$ 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443411"/>
        <c:axId val="4735578"/>
      </c:lineChart>
      <c:catAx>
        <c:axId val="454434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35578"/>
        <c:crosses val="autoZero"/>
        <c:auto val="1"/>
        <c:lblAlgn val="ctr"/>
        <c:lblOffset val="100"/>
        <c:noMultiLvlLbl val="0"/>
      </c:catAx>
      <c:valAx>
        <c:axId val="4735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4434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Patrimônio Acumulado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'Projeção 5 anos'!G10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5 anos'!$A$11:$A$15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'Projeção 5 anos'!$G$11:$G$15</c:f>
              <c:numCache>
                <c:formatCode>"R$ "#,##0.00;[RED]"(R$ "#,##0.00\);\-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28872"/>
        <c:axId val="14565128"/>
      </c:lineChart>
      <c:catAx>
        <c:axId val="33288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65128"/>
        <c:crosses val="autoZero"/>
        <c:auto val="1"/>
        <c:lblAlgn val="ctr"/>
        <c:lblOffset val="100"/>
        <c:noMultiLvlLbl val="0"/>
      </c:catAx>
      <c:valAx>
        <c:axId val="14565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88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Fluxo Anual: Entradas vs Saídas vs Dívidas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5 anos'!B10</c:f>
              <c:strCache>
                <c:ptCount val="1"/>
                <c:pt idx="0">
                  <c:v>Entradas Anuais</c:v>
                </c:pt>
              </c:strCache>
            </c:strRef>
          </c:tx>
          <c:spPr>
            <a:solidFill>
              <a:srgbClr val="416A9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5 anos'!$A$11:$A$15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'Projeção 5 anos'!$B$11:$B$15</c:f>
              <c:numCache>
                <c:formatCode>"R$ "#,##0.00;[RED]"(R$ "#,##0.00\);\-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'Projeção 5 anos'!C10</c:f>
              <c:strCache>
                <c:ptCount val="1"/>
                <c:pt idx="0">
                  <c:v>Saídas Anuais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5 anos'!$A$11:$A$15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'Projeção 5 anos'!$C$11:$C$15</c:f>
              <c:numCache>
                <c:formatCode>"R$ "#,##0.00;[RED]"(R$ "#,##0.00\);\-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'Projeção 5 anos'!D10</c:f>
              <c:strCache>
                <c:ptCount val="1"/>
                <c:pt idx="0">
                  <c:v>Parcelas Dívidas</c:v>
                </c:pt>
              </c:strCache>
            </c:strRef>
          </c:tx>
          <c:spPr>
            <a:solidFill>
              <a:srgbClr val="AABAD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5 anos'!$A$11:$A$15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'Projeção 5 anos'!$D$11:$D$15</c:f>
              <c:numCache>
                <c:formatCode>"R$ "#,##0.00;[RED]"(R$ "#,##0.00\);\-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777290"/>
        <c:axId val="37520185"/>
      </c:barChart>
      <c:catAx>
        <c:axId val="677729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20185"/>
        <c:crosses val="autoZero"/>
        <c:auto val="1"/>
        <c:lblAlgn val="ctr"/>
        <c:lblOffset val="100"/>
        <c:noMultiLvlLbl val="0"/>
      </c:catAx>
      <c:valAx>
        <c:axId val="37520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72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6</xdr:col>
      <xdr:colOff>291960</xdr:colOff>
      <xdr:row>47</xdr:row>
      <xdr:rowOff>1080</xdr:rowOff>
    </xdr:to>
    <xdr:graphicFrame>
      <xdr:nvGraphicFramePr>
        <xdr:cNvPr id="1" name="Chart 1"/>
        <xdr:cNvGraphicFramePr/>
      </xdr:nvGraphicFramePr>
      <xdr:xfrm>
        <a:off x="0" y="65437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6</xdr:col>
      <xdr:colOff>291960</xdr:colOff>
      <xdr:row>67</xdr:row>
      <xdr:rowOff>1080</xdr:rowOff>
    </xdr:to>
    <xdr:graphicFrame>
      <xdr:nvGraphicFramePr>
        <xdr:cNvPr id="2" name="Chart 2"/>
        <xdr:cNvGraphicFramePr/>
      </xdr:nvGraphicFramePr>
      <xdr:xfrm>
        <a:off x="0" y="103536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4</xdr:col>
      <xdr:colOff>1404720</xdr:colOff>
      <xdr:row>35</xdr:row>
      <xdr:rowOff>1080</xdr:rowOff>
    </xdr:to>
    <xdr:graphicFrame>
      <xdr:nvGraphicFramePr>
        <xdr:cNvPr id="3" name="Chart 1"/>
        <xdr:cNvGraphicFramePr/>
      </xdr:nvGraphicFramePr>
      <xdr:xfrm>
        <a:off x="0" y="3591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4</xdr:col>
      <xdr:colOff>1404720</xdr:colOff>
      <xdr:row>54</xdr:row>
      <xdr:rowOff>1080</xdr:rowOff>
    </xdr:to>
    <xdr:graphicFrame>
      <xdr:nvGraphicFramePr>
        <xdr:cNvPr id="4" name="Chart 2"/>
        <xdr:cNvGraphicFramePr/>
      </xdr:nvGraphicFramePr>
      <xdr:xfrm>
        <a:off x="0" y="721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6" hidden="false" customHeight="true" outlineLevel="0" collapsed="false">
      <c r="A5" s="4" t="s">
        <v>3</v>
      </c>
      <c r="B5" s="5" t="n">
        <f aca="false">Entradas!N17</f>
        <v>0</v>
      </c>
      <c r="C5" s="6" t="s">
        <v>4</v>
      </c>
      <c r="D5" s="7" t="n">
        <f aca="false">Saídas!N41</f>
        <v>0</v>
      </c>
      <c r="E5" s="6" t="s">
        <v>5</v>
      </c>
      <c r="F5" s="7" t="n">
        <f aca="false">Empréstimos!F18*12</f>
        <v>0</v>
      </c>
      <c r="G5" s="8" t="s">
        <v>6</v>
      </c>
      <c r="H5" s="9" t="n">
        <f aca="false">Entradas!N17-Saídas!N41-Empréstimos!F18*12</f>
        <v>0</v>
      </c>
    </row>
    <row r="7" customFormat="false" ht="21.7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10" t="s">
        <v>8</v>
      </c>
      <c r="B8" s="10"/>
      <c r="C8" s="10"/>
      <c r="D8" s="11" t="n">
        <f aca="false">IFERROR((Entradas!N17-Saídas!N41-Empréstimos!F18*12)/Entradas!N17,0)</f>
        <v>0</v>
      </c>
      <c r="E8" s="12" t="s">
        <v>9</v>
      </c>
      <c r="F8" s="12"/>
      <c r="G8" s="12"/>
      <c r="H8" s="12"/>
    </row>
    <row r="9" customFormat="false" ht="15" hidden="false" customHeight="false" outlineLevel="0" collapsed="false">
      <c r="A9" s="13" t="s">
        <v>10</v>
      </c>
      <c r="B9" s="13"/>
      <c r="C9" s="13"/>
      <c r="D9" s="11" t="n">
        <f aca="false">IFERROR(Empréstimos!F18*12/Entradas!N17,0)</f>
        <v>0</v>
      </c>
      <c r="E9" s="14" t="s">
        <v>11</v>
      </c>
      <c r="F9" s="14"/>
      <c r="G9" s="14"/>
      <c r="H9" s="14"/>
    </row>
    <row r="10" customFormat="false" ht="15" hidden="false" customHeight="false" outlineLevel="0" collapsed="false">
      <c r="A10" s="10" t="s">
        <v>12</v>
      </c>
      <c r="B10" s="10"/>
      <c r="C10" s="10"/>
      <c r="D10" s="11" t="n">
        <f aca="false">IFERROR(Saídas!N21/Entradas!N17,0)</f>
        <v>0</v>
      </c>
      <c r="E10" s="12" t="s">
        <v>13</v>
      </c>
      <c r="F10" s="12"/>
      <c r="G10" s="12"/>
      <c r="H10" s="12"/>
    </row>
    <row r="11" customFormat="false" ht="15" hidden="false" customHeight="false" outlineLevel="0" collapsed="false">
      <c r="A11" s="13" t="s">
        <v>14</v>
      </c>
      <c r="B11" s="13"/>
      <c r="C11" s="13"/>
      <c r="D11" s="11" t="n">
        <f aca="false">IFERROR(Saídas!N39/Entradas!N17,0)</f>
        <v>0</v>
      </c>
      <c r="E11" s="14" t="s">
        <v>15</v>
      </c>
      <c r="F11" s="14"/>
      <c r="G11" s="14"/>
      <c r="H11" s="14"/>
    </row>
    <row r="12" customFormat="false" ht="15" hidden="false" customHeight="false" outlineLevel="0" collapsed="false">
      <c r="A12" s="10" t="s">
        <v>16</v>
      </c>
      <c r="B12" s="10"/>
      <c r="C12" s="10"/>
      <c r="D12" s="15" t="n">
        <f aca="false">IFERROR('Projeção 5 anos'!B8/((Saídas!N41+Empréstimos!F18*12)/12),0)</f>
        <v>0</v>
      </c>
      <c r="E12" s="12" t="s">
        <v>17</v>
      </c>
      <c r="F12" s="12"/>
      <c r="G12" s="12"/>
      <c r="H12" s="12"/>
    </row>
    <row r="14" customFormat="false" ht="21.75" hidden="false" customHeight="true" outlineLevel="0" collapsed="false">
      <c r="A14" s="3" t="s">
        <v>18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16" t="s">
        <v>19</v>
      </c>
      <c r="B15" s="16" t="s">
        <v>20</v>
      </c>
      <c r="C15" s="16" t="s">
        <v>21</v>
      </c>
      <c r="D15" s="16" t="s">
        <v>22</v>
      </c>
      <c r="E15" s="16" t="s">
        <v>23</v>
      </c>
      <c r="F15" s="16" t="s">
        <v>24</v>
      </c>
      <c r="G15" s="16" t="s">
        <v>25</v>
      </c>
      <c r="H15" s="16" t="s">
        <v>26</v>
      </c>
    </row>
    <row r="16" customFormat="false" ht="15" hidden="false" customHeight="false" outlineLevel="0" collapsed="false">
      <c r="A16" s="17" t="s">
        <v>27</v>
      </c>
      <c r="B16" s="18" t="n">
        <f aca="false">Entradas!B17</f>
        <v>0</v>
      </c>
      <c r="C16" s="18" t="n">
        <f aca="false">Saídas!B41</f>
        <v>0</v>
      </c>
      <c r="D16" s="18" t="n">
        <f aca="false">Empréstimos!F18</f>
        <v>0</v>
      </c>
      <c r="E16" s="19" t="n">
        <f aca="false">B16-C16-D16</f>
        <v>0</v>
      </c>
      <c r="F16" s="19" t="n">
        <f aca="false">E16</f>
        <v>0</v>
      </c>
      <c r="G16" s="20" t="n">
        <f aca="false">IFERROR(E16/B16,0)</f>
        <v>0</v>
      </c>
      <c r="H16" s="17" t="str">
        <f aca="false">IF(B16=0,"-",IF(E16&lt;0,"🔴 Déficit",IF(G16&gt;=0.2,"🟢 Saudável","🟡 Atenção")))</f>
        <v>-</v>
      </c>
    </row>
    <row r="17" customFormat="false" ht="15" hidden="false" customHeight="false" outlineLevel="0" collapsed="false">
      <c r="A17" s="21" t="s">
        <v>28</v>
      </c>
      <c r="B17" s="22" t="n">
        <f aca="false">Entradas!C17</f>
        <v>0</v>
      </c>
      <c r="C17" s="22" t="n">
        <f aca="false">Saídas!C41</f>
        <v>0</v>
      </c>
      <c r="D17" s="22" t="n">
        <f aca="false">Empréstimos!F18</f>
        <v>0</v>
      </c>
      <c r="E17" s="23" t="n">
        <f aca="false">B17-C17-D17</f>
        <v>0</v>
      </c>
      <c r="F17" s="23" t="n">
        <f aca="false">F16+E17</f>
        <v>0</v>
      </c>
      <c r="G17" s="24" t="n">
        <f aca="false">IFERROR(E17/B17,0)</f>
        <v>0</v>
      </c>
      <c r="H17" s="21" t="str">
        <f aca="false">IF(B17=0,"-",IF(E17&lt;0,"🔴 Déficit",IF(G17&gt;=0.2,"🟢 Saudável","🟡 Atenção")))</f>
        <v>-</v>
      </c>
    </row>
    <row r="18" customFormat="false" ht="15" hidden="false" customHeight="false" outlineLevel="0" collapsed="false">
      <c r="A18" s="17" t="s">
        <v>29</v>
      </c>
      <c r="B18" s="18" t="n">
        <f aca="false">Entradas!D17</f>
        <v>0</v>
      </c>
      <c r="C18" s="18" t="n">
        <f aca="false">Saídas!D41</f>
        <v>0</v>
      </c>
      <c r="D18" s="18" t="n">
        <f aca="false">Empréstimos!F18</f>
        <v>0</v>
      </c>
      <c r="E18" s="19" t="n">
        <f aca="false">B18-C18-D18</f>
        <v>0</v>
      </c>
      <c r="F18" s="19" t="n">
        <f aca="false">F17+E18</f>
        <v>0</v>
      </c>
      <c r="G18" s="20" t="n">
        <f aca="false">IFERROR(E18/B18,0)</f>
        <v>0</v>
      </c>
      <c r="H18" s="17" t="str">
        <f aca="false">IF(B18=0,"-",IF(E18&lt;0,"🔴 Déficit",IF(G18&gt;=0.2,"🟢 Saudável","🟡 Atenção")))</f>
        <v>-</v>
      </c>
    </row>
    <row r="19" customFormat="false" ht="15" hidden="false" customHeight="false" outlineLevel="0" collapsed="false">
      <c r="A19" s="21" t="s">
        <v>30</v>
      </c>
      <c r="B19" s="22" t="n">
        <f aca="false">Entradas!E17</f>
        <v>0</v>
      </c>
      <c r="C19" s="22" t="n">
        <f aca="false">Saídas!E41</f>
        <v>0</v>
      </c>
      <c r="D19" s="22" t="n">
        <f aca="false">Empréstimos!F18</f>
        <v>0</v>
      </c>
      <c r="E19" s="23" t="n">
        <f aca="false">B19-C19-D19</f>
        <v>0</v>
      </c>
      <c r="F19" s="23" t="n">
        <f aca="false">F18+E19</f>
        <v>0</v>
      </c>
      <c r="G19" s="24" t="n">
        <f aca="false">IFERROR(E19/B19,0)</f>
        <v>0</v>
      </c>
      <c r="H19" s="21" t="str">
        <f aca="false">IF(B19=0,"-",IF(E19&lt;0,"🔴 Déficit",IF(G19&gt;=0.2,"🟢 Saudável","🟡 Atenção")))</f>
        <v>-</v>
      </c>
    </row>
    <row r="20" customFormat="false" ht="15" hidden="false" customHeight="false" outlineLevel="0" collapsed="false">
      <c r="A20" s="17" t="s">
        <v>31</v>
      </c>
      <c r="B20" s="18" t="n">
        <f aca="false">Entradas!F17</f>
        <v>0</v>
      </c>
      <c r="C20" s="18" t="n">
        <f aca="false">Saídas!F41</f>
        <v>0</v>
      </c>
      <c r="D20" s="18" t="n">
        <f aca="false">Empréstimos!F18</f>
        <v>0</v>
      </c>
      <c r="E20" s="19" t="n">
        <f aca="false">B20-C20-D20</f>
        <v>0</v>
      </c>
      <c r="F20" s="19" t="n">
        <f aca="false">F19+E20</f>
        <v>0</v>
      </c>
      <c r="G20" s="20" t="n">
        <f aca="false">IFERROR(E20/B20,0)</f>
        <v>0</v>
      </c>
      <c r="H20" s="17" t="str">
        <f aca="false">IF(B20=0,"-",IF(E20&lt;0,"🔴 Déficit",IF(G20&gt;=0.2,"🟢 Saudável","🟡 Atenção")))</f>
        <v>-</v>
      </c>
    </row>
    <row r="21" customFormat="false" ht="15" hidden="false" customHeight="false" outlineLevel="0" collapsed="false">
      <c r="A21" s="21" t="s">
        <v>32</v>
      </c>
      <c r="B21" s="22" t="n">
        <f aca="false">Entradas!G17</f>
        <v>0</v>
      </c>
      <c r="C21" s="22" t="n">
        <f aca="false">Saídas!G41</f>
        <v>0</v>
      </c>
      <c r="D21" s="22" t="n">
        <f aca="false">Empréstimos!F18</f>
        <v>0</v>
      </c>
      <c r="E21" s="23" t="n">
        <f aca="false">B21-C21-D21</f>
        <v>0</v>
      </c>
      <c r="F21" s="23" t="n">
        <f aca="false">F20+E21</f>
        <v>0</v>
      </c>
      <c r="G21" s="24" t="n">
        <f aca="false">IFERROR(E21/B21,0)</f>
        <v>0</v>
      </c>
      <c r="H21" s="21" t="str">
        <f aca="false">IF(B21=0,"-",IF(E21&lt;0,"🔴 Déficit",IF(G21&gt;=0.2,"🟢 Saudável","🟡 Atenção")))</f>
        <v>-</v>
      </c>
    </row>
    <row r="22" customFormat="false" ht="15" hidden="false" customHeight="false" outlineLevel="0" collapsed="false">
      <c r="A22" s="17" t="s">
        <v>33</v>
      </c>
      <c r="B22" s="18" t="n">
        <f aca="false">Entradas!H17</f>
        <v>0</v>
      </c>
      <c r="C22" s="18" t="n">
        <f aca="false">Saídas!H41</f>
        <v>0</v>
      </c>
      <c r="D22" s="18" t="n">
        <f aca="false">Empréstimos!F18</f>
        <v>0</v>
      </c>
      <c r="E22" s="19" t="n">
        <f aca="false">B22-C22-D22</f>
        <v>0</v>
      </c>
      <c r="F22" s="19" t="n">
        <f aca="false">F21+E22</f>
        <v>0</v>
      </c>
      <c r="G22" s="20" t="n">
        <f aca="false">IFERROR(E22/B22,0)</f>
        <v>0</v>
      </c>
      <c r="H22" s="17" t="str">
        <f aca="false">IF(B22=0,"-",IF(E22&lt;0,"🔴 Déficit",IF(G22&gt;=0.2,"🟢 Saudável","🟡 Atenção")))</f>
        <v>-</v>
      </c>
    </row>
    <row r="23" customFormat="false" ht="15" hidden="false" customHeight="false" outlineLevel="0" collapsed="false">
      <c r="A23" s="21" t="s">
        <v>34</v>
      </c>
      <c r="B23" s="22" t="n">
        <f aca="false">Entradas!I17</f>
        <v>0</v>
      </c>
      <c r="C23" s="22" t="n">
        <f aca="false">Saídas!I41</f>
        <v>0</v>
      </c>
      <c r="D23" s="22" t="n">
        <f aca="false">Empréstimos!F18</f>
        <v>0</v>
      </c>
      <c r="E23" s="23" t="n">
        <f aca="false">B23-C23-D23</f>
        <v>0</v>
      </c>
      <c r="F23" s="23" t="n">
        <f aca="false">F22+E23</f>
        <v>0</v>
      </c>
      <c r="G23" s="24" t="n">
        <f aca="false">IFERROR(E23/B23,0)</f>
        <v>0</v>
      </c>
      <c r="H23" s="21" t="str">
        <f aca="false">IF(B23=0,"-",IF(E23&lt;0,"🔴 Déficit",IF(G23&gt;=0.2,"🟢 Saudável","🟡 Atenção")))</f>
        <v>-</v>
      </c>
    </row>
    <row r="24" customFormat="false" ht="15" hidden="false" customHeight="false" outlineLevel="0" collapsed="false">
      <c r="A24" s="17" t="s">
        <v>35</v>
      </c>
      <c r="B24" s="18" t="n">
        <f aca="false">Entradas!J17</f>
        <v>0</v>
      </c>
      <c r="C24" s="18" t="n">
        <f aca="false">Saídas!J41</f>
        <v>0</v>
      </c>
      <c r="D24" s="18" t="n">
        <f aca="false">Empréstimos!F18</f>
        <v>0</v>
      </c>
      <c r="E24" s="19" t="n">
        <f aca="false">B24-C24-D24</f>
        <v>0</v>
      </c>
      <c r="F24" s="19" t="n">
        <f aca="false">F23+E24</f>
        <v>0</v>
      </c>
      <c r="G24" s="20" t="n">
        <f aca="false">IFERROR(E24/B24,0)</f>
        <v>0</v>
      </c>
      <c r="H24" s="17" t="str">
        <f aca="false">IF(B24=0,"-",IF(E24&lt;0,"🔴 Déficit",IF(G24&gt;=0.2,"🟢 Saudável","🟡 Atenção")))</f>
        <v>-</v>
      </c>
    </row>
    <row r="25" customFormat="false" ht="15" hidden="false" customHeight="false" outlineLevel="0" collapsed="false">
      <c r="A25" s="21" t="s">
        <v>36</v>
      </c>
      <c r="B25" s="22" t="n">
        <f aca="false">Entradas!K17</f>
        <v>0</v>
      </c>
      <c r="C25" s="22" t="n">
        <f aca="false">Saídas!K41</f>
        <v>0</v>
      </c>
      <c r="D25" s="22" t="n">
        <f aca="false">Empréstimos!F18</f>
        <v>0</v>
      </c>
      <c r="E25" s="23" t="n">
        <f aca="false">B25-C25-D25</f>
        <v>0</v>
      </c>
      <c r="F25" s="23" t="n">
        <f aca="false">F24+E25</f>
        <v>0</v>
      </c>
      <c r="G25" s="24" t="n">
        <f aca="false">IFERROR(E25/B25,0)</f>
        <v>0</v>
      </c>
      <c r="H25" s="21" t="str">
        <f aca="false">IF(B25=0,"-",IF(E25&lt;0,"🔴 Déficit",IF(G25&gt;=0.2,"🟢 Saudável","🟡 Atenção")))</f>
        <v>-</v>
      </c>
    </row>
    <row r="26" customFormat="false" ht="15" hidden="false" customHeight="false" outlineLevel="0" collapsed="false">
      <c r="A26" s="17" t="s">
        <v>37</v>
      </c>
      <c r="B26" s="18" t="n">
        <f aca="false">Entradas!L17</f>
        <v>0</v>
      </c>
      <c r="C26" s="18" t="n">
        <f aca="false">Saídas!L41</f>
        <v>0</v>
      </c>
      <c r="D26" s="18" t="n">
        <f aca="false">Empréstimos!F18</f>
        <v>0</v>
      </c>
      <c r="E26" s="19" t="n">
        <f aca="false">B26-C26-D26</f>
        <v>0</v>
      </c>
      <c r="F26" s="19" t="n">
        <f aca="false">F25+E26</f>
        <v>0</v>
      </c>
      <c r="G26" s="20" t="n">
        <f aca="false">IFERROR(E26/B26,0)</f>
        <v>0</v>
      </c>
      <c r="H26" s="17" t="str">
        <f aca="false">IF(B26=0,"-",IF(E26&lt;0,"🔴 Déficit",IF(G26&gt;=0.2,"🟢 Saudável","🟡 Atenção")))</f>
        <v>-</v>
      </c>
    </row>
    <row r="27" customFormat="false" ht="15" hidden="false" customHeight="false" outlineLevel="0" collapsed="false">
      <c r="A27" s="21" t="s">
        <v>38</v>
      </c>
      <c r="B27" s="22" t="n">
        <f aca="false">Entradas!M17</f>
        <v>0</v>
      </c>
      <c r="C27" s="22" t="n">
        <f aca="false">Saídas!M41</f>
        <v>0</v>
      </c>
      <c r="D27" s="22" t="n">
        <f aca="false">Empréstimos!F18</f>
        <v>0</v>
      </c>
      <c r="E27" s="23" t="n">
        <f aca="false">B27-C27-D27</f>
        <v>0</v>
      </c>
      <c r="F27" s="23" t="n">
        <f aca="false">F26+E27</f>
        <v>0</v>
      </c>
      <c r="G27" s="24" t="n">
        <f aca="false">IFERROR(E27/B27,0)</f>
        <v>0</v>
      </c>
      <c r="H27" s="21" t="str">
        <f aca="false">IF(B27=0,"-",IF(E27&lt;0,"🔴 Déficit",IF(G27&gt;=0.2,"🟢 Saudável","🟡 Atenção")))</f>
        <v>-</v>
      </c>
    </row>
    <row r="28" customFormat="false" ht="15" hidden="false" customHeight="false" outlineLevel="0" collapsed="false">
      <c r="A28" s="25" t="s">
        <v>39</v>
      </c>
      <c r="B28" s="26" t="n">
        <f aca="false">SUM(B16:B27)</f>
        <v>0</v>
      </c>
      <c r="C28" s="26" t="n">
        <f aca="false">SUM(C16:C27)</f>
        <v>0</v>
      </c>
      <c r="D28" s="26" t="n">
        <f aca="false">SUM(D16:D27)</f>
        <v>0</v>
      </c>
      <c r="E28" s="26" t="n">
        <f aca="false">SUM(E16:E27)</f>
        <v>0</v>
      </c>
      <c r="F28" s="26" t="n">
        <f aca="false">F27</f>
        <v>0</v>
      </c>
      <c r="G28" s="27" t="n">
        <f aca="false">IFERROR(E28/B28,0)</f>
        <v>0</v>
      </c>
      <c r="H28" s="28"/>
    </row>
    <row r="73" customFormat="false" ht="21.75" hidden="false" customHeight="true" outlineLevel="0" collapsed="false">
      <c r="A73" s="3" t="s">
        <v>40</v>
      </c>
      <c r="B73" s="3"/>
      <c r="C73" s="3"/>
      <c r="D73" s="3"/>
      <c r="E73" s="3"/>
      <c r="F73" s="3"/>
      <c r="G73" s="3"/>
      <c r="H73" s="3"/>
    </row>
    <row r="74" customFormat="false" ht="24" hidden="false" customHeight="true" outlineLevel="0" collapsed="false">
      <c r="A74" s="29" t="str">
        <f aca="false">IF(Entradas!N17=0,"Comece preenchendo a aba Entradas.",IF((Entradas!N17-Saídas!N41-Empréstimos!F18*12)&lt;0,"⚠ Você está gastando mais do que ganha. Revise as despesas variáveis prioritariamente.","✓ Você fechou o ano no positivo. Continue assim."))</f>
        <v>Comece preenchendo a aba Entradas.</v>
      </c>
      <c r="B74" s="29"/>
      <c r="C74" s="29"/>
      <c r="D74" s="29"/>
      <c r="E74" s="29"/>
      <c r="F74" s="29"/>
      <c r="G74" s="29"/>
      <c r="H74" s="29"/>
    </row>
    <row r="75" customFormat="false" ht="24" hidden="false" customHeight="true" outlineLevel="0" collapsed="false">
      <c r="A75" s="30" t="str">
        <f aca="false">IF(Empréstimos!F18=0,"Sem dívidas cadastradas.",IF(Empréstimos!F18*12/Entradas!N17&gt;0.3,"⚠ Comprometimento com dívidas acima de 30%. Avalie quitar a dívida com maior juros primeiro.","✓ Endividamento sob controle."))</f>
        <v>Sem dívidas cadastradas.</v>
      </c>
      <c r="B75" s="30"/>
      <c r="C75" s="30"/>
      <c r="D75" s="30"/>
      <c r="E75" s="30"/>
      <c r="F75" s="30"/>
      <c r="G75" s="30"/>
      <c r="H75" s="30"/>
    </row>
    <row r="76" customFormat="false" ht="24" hidden="false" customHeight="true" outlineLevel="0" collapsed="false">
      <c r="A76" s="29" t="str">
        <f aca="false">IF(Saídas!N21/MAX(Entradas!N17,1)&gt;0.6,"⚠ Gastos fixos consumindo mais de 60% da renda. Reduza recorrências antes de cortar variáveis.","✓ Estrutura de custos fixos enxuta.")</f>
        <v>✓ Estrutura de custos fixos enxuta.</v>
      </c>
      <c r="B76" s="29"/>
      <c r="C76" s="29"/>
      <c r="D76" s="29"/>
      <c r="E76" s="29"/>
      <c r="F76" s="29"/>
      <c r="G76" s="29"/>
      <c r="H76" s="29"/>
    </row>
    <row r="77" customFormat="false" ht="24" hidden="false" customHeight="true" outlineLevel="0" collapsed="false">
      <c r="A77" s="30" t="str">
        <f aca="false">IF((Entradas!N17-Saídas!N41-Empréstimos!F18*12)/MAX(Entradas!N17,1)&gt;=0.2,"✓ Taxa de poupança ≥ 20%: você está construindo patrimônio.","→ Mire em poupar pelo menos 20% da renda. Cada 1% extra ao mês compõe MUITO em 5 anos.")</f>
        <v>→ Mire em poupar pelo menos 20% da renda. Cada 1% extra ao mês compõe MUITO em 5 anos.</v>
      </c>
      <c r="B77" s="30"/>
      <c r="C77" s="30"/>
      <c r="D77" s="30"/>
      <c r="E77" s="30"/>
      <c r="F77" s="30"/>
      <c r="G77" s="30"/>
      <c r="H77" s="30"/>
    </row>
    <row r="78" customFormat="false" ht="24" hidden="false" customHeight="true" outlineLevel="0" collapsed="false">
      <c r="A78" s="29" t="str">
        <f aca="false">"Patrimônio projetado em 5 anos: " &amp; TEXT('Projeção 5 anos'!G15,"R$ #,##0")</f>
        <v>Patrimônio projetado em 5 anos: R$ 0</v>
      </c>
      <c r="B78" s="29"/>
      <c r="C78" s="29"/>
      <c r="D78" s="29"/>
      <c r="E78" s="29"/>
      <c r="F78" s="29"/>
      <c r="G78" s="29"/>
      <c r="H78" s="29"/>
    </row>
  </sheetData>
  <mergeCells count="21">
    <mergeCell ref="A1:H1"/>
    <mergeCell ref="A2:H2"/>
    <mergeCell ref="A4:H4"/>
    <mergeCell ref="A7:H7"/>
    <mergeCell ref="A8:C8"/>
    <mergeCell ref="E8:H8"/>
    <mergeCell ref="A9:C9"/>
    <mergeCell ref="E9:H9"/>
    <mergeCell ref="A10:C10"/>
    <mergeCell ref="E10:H10"/>
    <mergeCell ref="A11:C11"/>
    <mergeCell ref="E11:H11"/>
    <mergeCell ref="A12:C12"/>
    <mergeCell ref="E12:H12"/>
    <mergeCell ref="A14:H14"/>
    <mergeCell ref="A73:H73"/>
    <mergeCell ref="A74:H74"/>
    <mergeCell ref="A75:H75"/>
    <mergeCell ref="A76:H76"/>
    <mergeCell ref="A77:H77"/>
    <mergeCell ref="A78:H78"/>
  </mergeCells>
  <conditionalFormatting sqref="D8">
    <cfRule type="cellIs" priority="2" operator="greaterThanOrEqual" aboveAverage="0" equalAverage="0" bottom="0" percent="0" rank="0" text="" dxfId="0">
      <formula>0.2</formula>
    </cfRule>
    <cfRule type="cellIs" priority="3" operator="lessThan" aboveAverage="0" equalAverage="0" bottom="0" percent="0" rank="0" text="" dxfId="1">
      <formula>0.1</formula>
    </cfRule>
  </conditionalFormatting>
  <conditionalFormatting sqref="D9">
    <cfRule type="cellIs" priority="4" operator="lessThanOrEqual" aboveAverage="0" equalAverage="0" bottom="0" percent="0" rank="0" text="" dxfId="0">
      <formula>0.3</formula>
    </cfRule>
    <cfRule type="cellIs" priority="5" operator="greaterThan" aboveAverage="0" equalAverage="0" bottom="0" percent="0" rank="0" text="" dxfId="1">
      <formula>0.5</formula>
    </cfRule>
  </conditionalFormatting>
  <conditionalFormatting sqref="D10">
    <cfRule type="cellIs" priority="6" operator="lessThanOrEqual" aboveAverage="0" equalAverage="0" bottom="0" percent="0" rank="0" text="" dxfId="0">
      <formula>0.5</formula>
    </cfRule>
    <cfRule type="cellIs" priority="7" operator="greaterThan" aboveAverage="0" equalAverage="0" bottom="0" percent="0" rank="0" text="" dxfId="1">
      <formula>0.7</formula>
    </cfRule>
  </conditionalFormatting>
  <conditionalFormatting sqref="D11">
    <cfRule type="cellIs" priority="8" operator="lessThanOrEqual" aboveAverage="0" equalAverage="0" bottom="0" percent="0" rank="0" text="" dxfId="0">
      <formula>0.3</formula>
    </cfRule>
    <cfRule type="cellIs" priority="9" operator="greaterThan" aboveAverage="0" equalAverage="0" bottom="0" percent="0" rank="0" text="" dxfId="1">
      <formula>0.4</formula>
    </cfRule>
  </conditionalFormatting>
  <conditionalFormatting sqref="D12">
    <cfRule type="cellIs" priority="10" operator="greaterThanOrEqual" aboveAverage="0" equalAverage="0" bottom="0" percent="0" rank="0" text="" dxfId="0">
      <formula>6</formula>
    </cfRule>
    <cfRule type="cellIs" priority="11" operator="lessThan" aboveAverage="0" equalAverage="0" bottom="0" percent="0" rank="0" text="" dxfId="1">
      <formula>3</formula>
    </cfRule>
  </conditionalFormatting>
  <conditionalFormatting sqref="E16:E27">
    <cfRule type="colorScale" priority="12">
      <colorScale>
        <cfvo type="min" val="0"/>
        <cfvo type="num" val="0"/>
        <cfvo type="max" val="0"/>
        <color rgb="FFFCE4D6"/>
        <color rgb="FFFFFFFF"/>
        <color rgb="FFE2EF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3"/>
  </cols>
  <sheetData>
    <row r="1" customFormat="false" ht="27.75" hidden="false" customHeight="true" outlineLevel="0" collapsed="false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customFormat="false" ht="15" hidden="false" customHeight="false" outlineLevel="0" collapsed="false">
      <c r="A3" s="32" t="s">
        <v>42</v>
      </c>
      <c r="B3" s="33" t="n">
        <v>2026</v>
      </c>
    </row>
    <row r="5" customFormat="false" ht="15" hidden="false" customHeight="false" outlineLevel="0" collapsed="false">
      <c r="A5" s="34" t="s">
        <v>43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4" t="s">
        <v>33</v>
      </c>
      <c r="I5" s="34" t="s">
        <v>34</v>
      </c>
      <c r="J5" s="34" t="s">
        <v>35</v>
      </c>
      <c r="K5" s="34" t="s">
        <v>36</v>
      </c>
      <c r="L5" s="34" t="s">
        <v>37</v>
      </c>
      <c r="M5" s="34" t="s">
        <v>38</v>
      </c>
      <c r="N5" s="34" t="s">
        <v>44</v>
      </c>
    </row>
    <row r="6" customFormat="false" ht="15" hidden="false" customHeight="false" outlineLevel="0" collapsed="false">
      <c r="A6" s="10" t="s">
        <v>45</v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6" t="n">
        <f aca="false">SUM(B6:M6)</f>
        <v>0</v>
      </c>
    </row>
    <row r="7" customFormat="false" ht="15" hidden="false" customHeight="false" outlineLevel="0" collapsed="false">
      <c r="A7" s="13" t="s">
        <v>46</v>
      </c>
      <c r="B7" s="37" t="n">
        <v>0</v>
      </c>
      <c r="C7" s="37" t="n">
        <v>0</v>
      </c>
      <c r="D7" s="37" t="n">
        <v>0</v>
      </c>
      <c r="E7" s="37" t="n">
        <v>0</v>
      </c>
      <c r="F7" s="37" t="n">
        <v>0</v>
      </c>
      <c r="G7" s="37" t="n">
        <v>0</v>
      </c>
      <c r="H7" s="37" t="n">
        <v>0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6" t="n">
        <f aca="false">SUM(B7:M7)</f>
        <v>0</v>
      </c>
    </row>
    <row r="8" customFormat="false" ht="15" hidden="false" customHeight="false" outlineLevel="0" collapsed="false">
      <c r="A8" s="10" t="s">
        <v>47</v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6" t="n">
        <f aca="false">SUM(B8:M8)</f>
        <v>0</v>
      </c>
    </row>
    <row r="9" customFormat="false" ht="15" hidden="false" customHeight="false" outlineLevel="0" collapsed="false">
      <c r="A9" s="13" t="s">
        <v>48</v>
      </c>
      <c r="B9" s="37" t="n">
        <v>0</v>
      </c>
      <c r="C9" s="37" t="n">
        <v>0</v>
      </c>
      <c r="D9" s="37" t="n">
        <v>0</v>
      </c>
      <c r="E9" s="37" t="n">
        <v>0</v>
      </c>
      <c r="F9" s="37" t="n">
        <v>0</v>
      </c>
      <c r="G9" s="37" t="n">
        <v>0</v>
      </c>
      <c r="H9" s="37" t="n">
        <v>0</v>
      </c>
      <c r="I9" s="37" t="n">
        <v>0</v>
      </c>
      <c r="J9" s="37" t="n">
        <v>0</v>
      </c>
      <c r="K9" s="37" t="n">
        <v>0</v>
      </c>
      <c r="L9" s="37" t="n">
        <v>0</v>
      </c>
      <c r="M9" s="37" t="n">
        <v>0</v>
      </c>
      <c r="N9" s="36" t="n">
        <f aca="false">SUM(B9:M9)</f>
        <v>0</v>
      </c>
    </row>
    <row r="10" customFormat="false" ht="15" hidden="false" customHeight="false" outlineLevel="0" collapsed="false">
      <c r="A10" s="10" t="s">
        <v>49</v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6" t="n">
        <f aca="false">SUM(B10:M10)</f>
        <v>0</v>
      </c>
    </row>
    <row r="11" customFormat="false" ht="15" hidden="false" customHeight="false" outlineLevel="0" collapsed="false">
      <c r="A11" s="13" t="s">
        <v>50</v>
      </c>
      <c r="B11" s="37" t="n">
        <v>0</v>
      </c>
      <c r="C11" s="37" t="n">
        <v>0</v>
      </c>
      <c r="D11" s="37" t="n">
        <v>0</v>
      </c>
      <c r="E11" s="37" t="n">
        <v>0</v>
      </c>
      <c r="F11" s="37" t="n">
        <v>0</v>
      </c>
      <c r="G11" s="37" t="n">
        <v>0</v>
      </c>
      <c r="H11" s="37" t="n">
        <v>0</v>
      </c>
      <c r="I11" s="37" t="n">
        <v>0</v>
      </c>
      <c r="J11" s="37" t="n">
        <v>0</v>
      </c>
      <c r="K11" s="37" t="n">
        <v>0</v>
      </c>
      <c r="L11" s="37" t="n">
        <v>0</v>
      </c>
      <c r="M11" s="37" t="n">
        <v>0</v>
      </c>
      <c r="N11" s="36" t="n">
        <f aca="false">SUM(B11:M11)</f>
        <v>0</v>
      </c>
    </row>
    <row r="12" customFormat="false" ht="15" hidden="false" customHeight="false" outlineLevel="0" collapsed="false">
      <c r="A12" s="10" t="s">
        <v>51</v>
      </c>
      <c r="B12" s="35" t="n">
        <v>0</v>
      </c>
      <c r="C12" s="35" t="n">
        <v>0</v>
      </c>
      <c r="D12" s="35" t="n">
        <v>0</v>
      </c>
      <c r="E12" s="35" t="n">
        <v>0</v>
      </c>
      <c r="F12" s="35" t="n">
        <v>0</v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6" t="n">
        <f aca="false">SUM(B12:M12)</f>
        <v>0</v>
      </c>
    </row>
    <row r="13" customFormat="false" ht="15" hidden="false" customHeight="false" outlineLevel="0" collapsed="false">
      <c r="A13" s="13" t="s">
        <v>52</v>
      </c>
      <c r="B13" s="37" t="n">
        <v>0</v>
      </c>
      <c r="C13" s="37" t="n">
        <v>0</v>
      </c>
      <c r="D13" s="37" t="n">
        <v>0</v>
      </c>
      <c r="E13" s="37" t="n">
        <v>0</v>
      </c>
      <c r="F13" s="37" t="n">
        <v>0</v>
      </c>
      <c r="G13" s="37" t="n">
        <v>0</v>
      </c>
      <c r="H13" s="37" t="n">
        <v>0</v>
      </c>
      <c r="I13" s="37" t="n">
        <v>0</v>
      </c>
      <c r="J13" s="37" t="n">
        <v>0</v>
      </c>
      <c r="K13" s="37" t="n">
        <v>0</v>
      </c>
      <c r="L13" s="37" t="n">
        <v>0</v>
      </c>
      <c r="M13" s="37" t="n">
        <v>0</v>
      </c>
      <c r="N13" s="36" t="n">
        <f aca="false">SUM(B13:M13)</f>
        <v>0</v>
      </c>
    </row>
    <row r="14" customFormat="false" ht="15" hidden="false" customHeight="false" outlineLevel="0" collapsed="false">
      <c r="A14" s="10" t="s">
        <v>53</v>
      </c>
      <c r="B14" s="35" t="n">
        <v>0</v>
      </c>
      <c r="C14" s="35" t="n">
        <v>0</v>
      </c>
      <c r="D14" s="35" t="n">
        <v>0</v>
      </c>
      <c r="E14" s="35" t="n">
        <v>0</v>
      </c>
      <c r="F14" s="35" t="n">
        <v>0</v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6" t="n">
        <f aca="false">SUM(B14:M14)</f>
        <v>0</v>
      </c>
    </row>
    <row r="15" customFormat="false" ht="15" hidden="false" customHeight="false" outlineLevel="0" collapsed="false">
      <c r="A15" s="13" t="s">
        <v>54</v>
      </c>
      <c r="B15" s="37" t="n">
        <v>0</v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0</v>
      </c>
      <c r="H15" s="37" t="n">
        <v>0</v>
      </c>
      <c r="I15" s="37" t="n">
        <v>0</v>
      </c>
      <c r="J15" s="37" t="n">
        <v>0</v>
      </c>
      <c r="K15" s="37" t="n">
        <v>0</v>
      </c>
      <c r="L15" s="37" t="n">
        <v>0</v>
      </c>
      <c r="M15" s="37" t="n">
        <v>0</v>
      </c>
      <c r="N15" s="36" t="n">
        <f aca="false">SUM(B15:M15)</f>
        <v>0</v>
      </c>
    </row>
    <row r="16" customFormat="false" ht="15" hidden="false" customHeight="false" outlineLevel="0" collapsed="false">
      <c r="A16" s="10" t="s">
        <v>55</v>
      </c>
      <c r="B16" s="35" t="n">
        <v>0</v>
      </c>
      <c r="C16" s="35" t="n">
        <v>0</v>
      </c>
      <c r="D16" s="35" t="n">
        <v>0</v>
      </c>
      <c r="E16" s="35" t="n">
        <v>0</v>
      </c>
      <c r="F16" s="35" t="n">
        <v>0</v>
      </c>
      <c r="G16" s="35" t="n">
        <v>0</v>
      </c>
      <c r="H16" s="35" t="n">
        <v>0</v>
      </c>
      <c r="I16" s="35" t="n">
        <v>0</v>
      </c>
      <c r="J16" s="35" t="n">
        <v>0</v>
      </c>
      <c r="K16" s="35" t="n">
        <v>0</v>
      </c>
      <c r="L16" s="35" t="n">
        <v>0</v>
      </c>
      <c r="M16" s="35" t="n">
        <v>0</v>
      </c>
      <c r="N16" s="36" t="n">
        <f aca="false">SUM(B16:M16)</f>
        <v>0</v>
      </c>
    </row>
    <row r="17" customFormat="false" ht="15" hidden="false" customHeight="false" outlineLevel="0" collapsed="false">
      <c r="A17" s="38" t="s">
        <v>56</v>
      </c>
      <c r="B17" s="39" t="n">
        <f aca="false">SUM(B6:B16)</f>
        <v>0</v>
      </c>
      <c r="C17" s="39" t="n">
        <f aca="false">SUM(C6:C16)</f>
        <v>0</v>
      </c>
      <c r="D17" s="39" t="n">
        <f aca="false">SUM(D6:D16)</f>
        <v>0</v>
      </c>
      <c r="E17" s="39" t="n">
        <f aca="false">SUM(E6:E16)</f>
        <v>0</v>
      </c>
      <c r="F17" s="39" t="n">
        <f aca="false">SUM(F6:F16)</f>
        <v>0</v>
      </c>
      <c r="G17" s="39" t="n">
        <f aca="false">SUM(G6:G16)</f>
        <v>0</v>
      </c>
      <c r="H17" s="39" t="n">
        <f aca="false">SUM(H6:H16)</f>
        <v>0</v>
      </c>
      <c r="I17" s="39" t="n">
        <f aca="false">SUM(I6:I16)</f>
        <v>0</v>
      </c>
      <c r="J17" s="39" t="n">
        <f aca="false">SUM(J6:J16)</f>
        <v>0</v>
      </c>
      <c r="K17" s="39" t="n">
        <f aca="false">SUM(K6:K16)</f>
        <v>0</v>
      </c>
      <c r="L17" s="39" t="n">
        <f aca="false">SUM(L6:L16)</f>
        <v>0</v>
      </c>
      <c r="M17" s="39" t="n">
        <f aca="false">SUM(M6:M16)</f>
        <v>0</v>
      </c>
      <c r="N17" s="39" t="n">
        <f aca="false">SUM(B17:M17)</f>
        <v>0</v>
      </c>
    </row>
    <row r="18" customFormat="false" ht="15" hidden="false" customHeight="false" outlineLevel="0" collapsed="false">
      <c r="A18" s="40" t="s">
        <v>57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36" t="n">
        <f aca="false">N17/12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3"/>
  </cols>
  <sheetData>
    <row r="1" customFormat="false" ht="27.75" hidden="false" customHeight="true" outlineLevel="0" collapsed="false">
      <c r="A1" s="42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customFormat="false" ht="15" hidden="false" customHeight="false" outlineLevel="0" collapsed="false">
      <c r="A3" s="32" t="s">
        <v>42</v>
      </c>
      <c r="B3" s="43" t="n">
        <f aca="false">Entradas!B3</f>
        <v>2026</v>
      </c>
    </row>
    <row r="5" customFormat="false" ht="21.75" hidden="false" customHeight="true" outlineLevel="0" collapsed="false">
      <c r="A5" s="3" t="s">
        <v>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44" t="s">
        <v>43</v>
      </c>
      <c r="B6" s="44" t="s">
        <v>27</v>
      </c>
      <c r="C6" s="44" t="s">
        <v>28</v>
      </c>
      <c r="D6" s="44" t="s">
        <v>29</v>
      </c>
      <c r="E6" s="44" t="s">
        <v>30</v>
      </c>
      <c r="F6" s="44" t="s">
        <v>31</v>
      </c>
      <c r="G6" s="44" t="s">
        <v>32</v>
      </c>
      <c r="H6" s="44" t="s">
        <v>33</v>
      </c>
      <c r="I6" s="44" t="s">
        <v>34</v>
      </c>
      <c r="J6" s="44" t="s">
        <v>35</v>
      </c>
      <c r="K6" s="44" t="s">
        <v>36</v>
      </c>
      <c r="L6" s="44" t="s">
        <v>37</v>
      </c>
      <c r="M6" s="44" t="s">
        <v>38</v>
      </c>
      <c r="N6" s="44" t="s">
        <v>44</v>
      </c>
    </row>
    <row r="7" customFormat="false" ht="15" hidden="false" customHeight="false" outlineLevel="0" collapsed="false">
      <c r="A7" s="10" t="s">
        <v>60</v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45" t="n">
        <f aca="false">SUM(B7:M7)</f>
        <v>0</v>
      </c>
    </row>
    <row r="8" customFormat="false" ht="15" hidden="false" customHeight="false" outlineLevel="0" collapsed="false">
      <c r="A8" s="13" t="s">
        <v>61</v>
      </c>
      <c r="B8" s="37" t="n">
        <v>0</v>
      </c>
      <c r="C8" s="37" t="n">
        <v>0</v>
      </c>
      <c r="D8" s="37" t="n">
        <v>0</v>
      </c>
      <c r="E8" s="37" t="n">
        <v>0</v>
      </c>
      <c r="F8" s="37" t="n">
        <v>0</v>
      </c>
      <c r="G8" s="37" t="n">
        <v>0</v>
      </c>
      <c r="H8" s="37" t="n">
        <v>0</v>
      </c>
      <c r="I8" s="37" t="n">
        <v>0</v>
      </c>
      <c r="J8" s="37" t="n">
        <v>0</v>
      </c>
      <c r="K8" s="37" t="n">
        <v>0</v>
      </c>
      <c r="L8" s="37" t="n">
        <v>0</v>
      </c>
      <c r="M8" s="37" t="n">
        <v>0</v>
      </c>
      <c r="N8" s="45" t="n">
        <f aca="false">SUM(B8:M8)</f>
        <v>0</v>
      </c>
    </row>
    <row r="9" customFormat="false" ht="15" hidden="false" customHeight="false" outlineLevel="0" collapsed="false">
      <c r="A9" s="10" t="s">
        <v>62</v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45" t="n">
        <f aca="false">SUM(B9:M9)</f>
        <v>0</v>
      </c>
    </row>
    <row r="10" customFormat="false" ht="15" hidden="false" customHeight="false" outlineLevel="0" collapsed="false">
      <c r="A10" s="13" t="s">
        <v>63</v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7" t="n">
        <v>0</v>
      </c>
      <c r="H10" s="37" t="n">
        <v>0</v>
      </c>
      <c r="I10" s="37" t="n">
        <v>0</v>
      </c>
      <c r="J10" s="37" t="n">
        <v>0</v>
      </c>
      <c r="K10" s="37" t="n">
        <v>0</v>
      </c>
      <c r="L10" s="37" t="n">
        <v>0</v>
      </c>
      <c r="M10" s="37" t="n">
        <v>0</v>
      </c>
      <c r="N10" s="45" t="n">
        <f aca="false">SUM(B10:M10)</f>
        <v>0</v>
      </c>
    </row>
    <row r="11" customFormat="false" ht="15" hidden="false" customHeight="false" outlineLevel="0" collapsed="false">
      <c r="A11" s="10" t="s">
        <v>64</v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45" t="n">
        <f aca="false">SUM(B11:M11)</f>
        <v>0</v>
      </c>
    </row>
    <row r="12" customFormat="false" ht="15" hidden="false" customHeight="false" outlineLevel="0" collapsed="false">
      <c r="A12" s="13" t="s">
        <v>65</v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37" t="n">
        <v>0</v>
      </c>
      <c r="H12" s="37" t="n">
        <v>0</v>
      </c>
      <c r="I12" s="37" t="n">
        <v>0</v>
      </c>
      <c r="J12" s="37" t="n">
        <v>0</v>
      </c>
      <c r="K12" s="37" t="n">
        <v>0</v>
      </c>
      <c r="L12" s="37" t="n">
        <v>0</v>
      </c>
      <c r="M12" s="37" t="n">
        <v>0</v>
      </c>
      <c r="N12" s="45" t="n">
        <f aca="false">SUM(B12:M12)</f>
        <v>0</v>
      </c>
    </row>
    <row r="13" customFormat="false" ht="15" hidden="false" customHeight="false" outlineLevel="0" collapsed="false">
      <c r="A13" s="10" t="s">
        <v>66</v>
      </c>
      <c r="B13" s="35" t="n">
        <v>0</v>
      </c>
      <c r="C13" s="35" t="n">
        <v>0</v>
      </c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45" t="n">
        <f aca="false">SUM(B13:M13)</f>
        <v>0</v>
      </c>
    </row>
    <row r="14" customFormat="false" ht="15" hidden="false" customHeight="false" outlineLevel="0" collapsed="false">
      <c r="A14" s="13" t="s">
        <v>67</v>
      </c>
      <c r="B14" s="37" t="n">
        <v>0</v>
      </c>
      <c r="C14" s="37" t="n">
        <v>0</v>
      </c>
      <c r="D14" s="37" t="n">
        <v>0</v>
      </c>
      <c r="E14" s="37" t="n">
        <v>0</v>
      </c>
      <c r="F14" s="37" t="n">
        <v>0</v>
      </c>
      <c r="G14" s="37" t="n">
        <v>0</v>
      </c>
      <c r="H14" s="37" t="n">
        <v>0</v>
      </c>
      <c r="I14" s="37" t="n">
        <v>0</v>
      </c>
      <c r="J14" s="37" t="n">
        <v>0</v>
      </c>
      <c r="K14" s="37" t="n">
        <v>0</v>
      </c>
      <c r="L14" s="37" t="n">
        <v>0</v>
      </c>
      <c r="M14" s="37" t="n">
        <v>0</v>
      </c>
      <c r="N14" s="45" t="n">
        <f aca="false">SUM(B14:M14)</f>
        <v>0</v>
      </c>
    </row>
    <row r="15" customFormat="false" ht="15" hidden="false" customHeight="false" outlineLevel="0" collapsed="false">
      <c r="A15" s="10" t="s">
        <v>68</v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45" t="n">
        <f aca="false">SUM(B15:M15)</f>
        <v>0</v>
      </c>
    </row>
    <row r="16" customFormat="false" ht="15" hidden="false" customHeight="false" outlineLevel="0" collapsed="false">
      <c r="A16" s="13" t="s">
        <v>69</v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0</v>
      </c>
      <c r="H16" s="37" t="n">
        <v>0</v>
      </c>
      <c r="I16" s="37" t="n">
        <v>0</v>
      </c>
      <c r="J16" s="37" t="n">
        <v>0</v>
      </c>
      <c r="K16" s="37" t="n">
        <v>0</v>
      </c>
      <c r="L16" s="37" t="n">
        <v>0</v>
      </c>
      <c r="M16" s="37" t="n">
        <v>0</v>
      </c>
      <c r="N16" s="45" t="n">
        <f aca="false">SUM(B16:M16)</f>
        <v>0</v>
      </c>
    </row>
    <row r="17" customFormat="false" ht="15" hidden="false" customHeight="false" outlineLevel="0" collapsed="false">
      <c r="A17" s="10" t="s">
        <v>70</v>
      </c>
      <c r="B17" s="35" t="n">
        <v>0</v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45" t="n">
        <f aca="false">SUM(B17:M17)</f>
        <v>0</v>
      </c>
    </row>
    <row r="18" customFormat="false" ht="15" hidden="false" customHeight="false" outlineLevel="0" collapsed="false">
      <c r="A18" s="13" t="s">
        <v>71</v>
      </c>
      <c r="B18" s="37" t="n">
        <v>0</v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v>0</v>
      </c>
      <c r="H18" s="37" t="n">
        <v>0</v>
      </c>
      <c r="I18" s="37" t="n">
        <v>0</v>
      </c>
      <c r="J18" s="37" t="n">
        <v>0</v>
      </c>
      <c r="K18" s="37" t="n">
        <v>0</v>
      </c>
      <c r="L18" s="37" t="n">
        <v>0</v>
      </c>
      <c r="M18" s="37" t="n">
        <v>0</v>
      </c>
      <c r="N18" s="45" t="n">
        <f aca="false">SUM(B18:M18)</f>
        <v>0</v>
      </c>
    </row>
    <row r="19" customFormat="false" ht="15" hidden="false" customHeight="false" outlineLevel="0" collapsed="false">
      <c r="A19" s="10" t="s">
        <v>72</v>
      </c>
      <c r="B19" s="35" t="n">
        <v>0</v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0</v>
      </c>
      <c r="H19" s="35" t="n">
        <v>0</v>
      </c>
      <c r="I19" s="35" t="n">
        <v>0</v>
      </c>
      <c r="J19" s="35" t="n">
        <v>0</v>
      </c>
      <c r="K19" s="35" t="n">
        <v>0</v>
      </c>
      <c r="L19" s="35" t="n">
        <v>0</v>
      </c>
      <c r="M19" s="35" t="n">
        <v>0</v>
      </c>
      <c r="N19" s="45" t="n">
        <f aca="false">SUM(B19:M19)</f>
        <v>0</v>
      </c>
    </row>
    <row r="20" customFormat="false" ht="15" hidden="false" customHeight="false" outlineLevel="0" collapsed="false">
      <c r="A20" s="13" t="s">
        <v>73</v>
      </c>
      <c r="B20" s="37" t="n">
        <v>0</v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37" t="n">
        <v>0</v>
      </c>
      <c r="L20" s="37" t="n">
        <v>0</v>
      </c>
      <c r="M20" s="37" t="n">
        <v>0</v>
      </c>
      <c r="N20" s="45" t="n">
        <f aca="false">SUM(B20:M20)</f>
        <v>0</v>
      </c>
    </row>
    <row r="21" customFormat="false" ht="15" hidden="false" customHeight="false" outlineLevel="0" collapsed="false">
      <c r="A21" s="46" t="s">
        <v>74</v>
      </c>
      <c r="B21" s="45" t="n">
        <f aca="false">SUM(B7:B20)</f>
        <v>0</v>
      </c>
      <c r="C21" s="45" t="n">
        <f aca="false">SUM(C7:C20)</f>
        <v>0</v>
      </c>
      <c r="D21" s="45" t="n">
        <f aca="false">SUM(D7:D20)</f>
        <v>0</v>
      </c>
      <c r="E21" s="45" t="n">
        <f aca="false">SUM(E7:E20)</f>
        <v>0</v>
      </c>
      <c r="F21" s="45" t="n">
        <f aca="false">SUM(F7:F20)</f>
        <v>0</v>
      </c>
      <c r="G21" s="45" t="n">
        <f aca="false">SUM(G7:G20)</f>
        <v>0</v>
      </c>
      <c r="H21" s="45" t="n">
        <f aca="false">SUM(H7:H20)</f>
        <v>0</v>
      </c>
      <c r="I21" s="45" t="n">
        <f aca="false">SUM(I7:I20)</f>
        <v>0</v>
      </c>
      <c r="J21" s="45" t="n">
        <f aca="false">SUM(J7:J20)</f>
        <v>0</v>
      </c>
      <c r="K21" s="45" t="n">
        <f aca="false">SUM(K7:K20)</f>
        <v>0</v>
      </c>
      <c r="L21" s="45" t="n">
        <f aca="false">SUM(L7:L20)</f>
        <v>0</v>
      </c>
      <c r="M21" s="45" t="n">
        <f aca="false">SUM(M7:M20)</f>
        <v>0</v>
      </c>
      <c r="N21" s="45" t="n">
        <f aca="false">SUM(B21:M21)</f>
        <v>0</v>
      </c>
    </row>
    <row r="23" customFormat="false" ht="21.75" hidden="false" customHeight="true" outlineLevel="0" collapsed="false">
      <c r="A23" s="3" t="s">
        <v>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44" t="s">
        <v>43</v>
      </c>
      <c r="B24" s="44" t="s">
        <v>27</v>
      </c>
      <c r="C24" s="44" t="s">
        <v>28</v>
      </c>
      <c r="D24" s="44" t="s">
        <v>29</v>
      </c>
      <c r="E24" s="44" t="s">
        <v>30</v>
      </c>
      <c r="F24" s="44" t="s">
        <v>31</v>
      </c>
      <c r="G24" s="44" t="s">
        <v>32</v>
      </c>
      <c r="H24" s="44" t="s">
        <v>33</v>
      </c>
      <c r="I24" s="44" t="s">
        <v>34</v>
      </c>
      <c r="J24" s="44" t="s">
        <v>35</v>
      </c>
      <c r="K24" s="44" t="s">
        <v>36</v>
      </c>
      <c r="L24" s="44" t="s">
        <v>37</v>
      </c>
      <c r="M24" s="44" t="s">
        <v>38</v>
      </c>
      <c r="N24" s="44" t="s">
        <v>44</v>
      </c>
    </row>
    <row r="25" customFormat="false" ht="15" hidden="false" customHeight="false" outlineLevel="0" collapsed="false">
      <c r="A25" s="10" t="s">
        <v>76</v>
      </c>
      <c r="B25" s="35" t="n">
        <v>0</v>
      </c>
      <c r="C25" s="35" t="n">
        <v>0</v>
      </c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45" t="n">
        <f aca="false">SUM(B25:M25)</f>
        <v>0</v>
      </c>
    </row>
    <row r="26" customFormat="false" ht="15" hidden="false" customHeight="false" outlineLevel="0" collapsed="false">
      <c r="A26" s="13" t="s">
        <v>77</v>
      </c>
      <c r="B26" s="37" t="n">
        <v>0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7" t="n">
        <v>0</v>
      </c>
      <c r="M26" s="37" t="n">
        <v>0</v>
      </c>
      <c r="N26" s="45" t="n">
        <f aca="false">SUM(B26:M26)</f>
        <v>0</v>
      </c>
    </row>
    <row r="27" customFormat="false" ht="15" hidden="false" customHeight="false" outlineLevel="0" collapsed="false">
      <c r="A27" s="10" t="s">
        <v>78</v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45" t="n">
        <f aca="false">SUM(B27:M27)</f>
        <v>0</v>
      </c>
    </row>
    <row r="28" customFormat="false" ht="15" hidden="false" customHeight="false" outlineLevel="0" collapsed="false">
      <c r="A28" s="13" t="s">
        <v>79</v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0</v>
      </c>
      <c r="G28" s="37" t="n">
        <v>0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</v>
      </c>
      <c r="M28" s="37" t="n">
        <v>0</v>
      </c>
      <c r="N28" s="45" t="n">
        <f aca="false">SUM(B28:M28)</f>
        <v>0</v>
      </c>
    </row>
    <row r="29" customFormat="false" ht="15" hidden="false" customHeight="false" outlineLevel="0" collapsed="false">
      <c r="A29" s="10" t="s">
        <v>80</v>
      </c>
      <c r="B29" s="35" t="n">
        <v>0</v>
      </c>
      <c r="C29" s="35" t="n">
        <v>0</v>
      </c>
      <c r="D29" s="35" t="n">
        <v>0</v>
      </c>
      <c r="E29" s="35" t="n">
        <v>0</v>
      </c>
      <c r="F29" s="35" t="n">
        <v>0</v>
      </c>
      <c r="G29" s="35" t="n">
        <v>0</v>
      </c>
      <c r="H29" s="35" t="n">
        <v>0</v>
      </c>
      <c r="I29" s="35" t="n">
        <v>0</v>
      </c>
      <c r="J29" s="35" t="n">
        <v>0</v>
      </c>
      <c r="K29" s="35" t="n">
        <v>0</v>
      </c>
      <c r="L29" s="35" t="n">
        <v>0</v>
      </c>
      <c r="M29" s="35" t="n">
        <v>0</v>
      </c>
      <c r="N29" s="45" t="n">
        <f aca="false">SUM(B29:M29)</f>
        <v>0</v>
      </c>
    </row>
    <row r="30" customFormat="false" ht="15" hidden="false" customHeight="false" outlineLevel="0" collapsed="false">
      <c r="A30" s="13" t="s">
        <v>81</v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0</v>
      </c>
      <c r="G30" s="37" t="n">
        <v>0</v>
      </c>
      <c r="H30" s="37" t="n">
        <v>0</v>
      </c>
      <c r="I30" s="37" t="n">
        <v>0</v>
      </c>
      <c r="J30" s="37" t="n">
        <v>0</v>
      </c>
      <c r="K30" s="37" t="n">
        <v>0</v>
      </c>
      <c r="L30" s="37" t="n">
        <v>0</v>
      </c>
      <c r="M30" s="37" t="n">
        <v>0</v>
      </c>
      <c r="N30" s="45" t="n">
        <f aca="false">SUM(B30:M30)</f>
        <v>0</v>
      </c>
    </row>
    <row r="31" customFormat="false" ht="15" hidden="false" customHeight="false" outlineLevel="0" collapsed="false">
      <c r="A31" s="10" t="s">
        <v>82</v>
      </c>
      <c r="B31" s="35" t="n">
        <v>0</v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</v>
      </c>
      <c r="J31" s="35" t="n">
        <v>0</v>
      </c>
      <c r="K31" s="35" t="n">
        <v>0</v>
      </c>
      <c r="L31" s="35" t="n">
        <v>0</v>
      </c>
      <c r="M31" s="35" t="n">
        <v>0</v>
      </c>
      <c r="N31" s="45" t="n">
        <f aca="false">SUM(B31:M31)</f>
        <v>0</v>
      </c>
    </row>
    <row r="32" customFormat="false" ht="15" hidden="false" customHeight="false" outlineLevel="0" collapsed="false">
      <c r="A32" s="13" t="s">
        <v>83</v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0</v>
      </c>
      <c r="G32" s="37" t="n">
        <v>0</v>
      </c>
      <c r="H32" s="37" t="n">
        <v>0</v>
      </c>
      <c r="I32" s="37" t="n">
        <v>0</v>
      </c>
      <c r="J32" s="37" t="n">
        <v>0</v>
      </c>
      <c r="K32" s="37" t="n">
        <v>0</v>
      </c>
      <c r="L32" s="37" t="n">
        <v>0</v>
      </c>
      <c r="M32" s="37" t="n">
        <v>0</v>
      </c>
      <c r="N32" s="45" t="n">
        <f aca="false">SUM(B32:M32)</f>
        <v>0</v>
      </c>
    </row>
    <row r="33" customFormat="false" ht="15" hidden="false" customHeight="false" outlineLevel="0" collapsed="false">
      <c r="A33" s="10" t="s">
        <v>84</v>
      </c>
      <c r="B33" s="35" t="n">
        <v>0</v>
      </c>
      <c r="C33" s="35" t="n">
        <v>0</v>
      </c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45" t="n">
        <f aca="false">SUM(B33:M33)</f>
        <v>0</v>
      </c>
    </row>
    <row r="34" customFormat="false" ht="15" hidden="false" customHeight="false" outlineLevel="0" collapsed="false">
      <c r="A34" s="13" t="s">
        <v>85</v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0</v>
      </c>
      <c r="G34" s="37" t="n">
        <v>0</v>
      </c>
      <c r="H34" s="37" t="n">
        <v>0</v>
      </c>
      <c r="I34" s="37" t="n">
        <v>0</v>
      </c>
      <c r="J34" s="37" t="n">
        <v>0</v>
      </c>
      <c r="K34" s="37" t="n">
        <v>0</v>
      </c>
      <c r="L34" s="37" t="n">
        <v>0</v>
      </c>
      <c r="M34" s="37" t="n">
        <v>0</v>
      </c>
      <c r="N34" s="45" t="n">
        <f aca="false">SUM(B34:M34)</f>
        <v>0</v>
      </c>
    </row>
    <row r="35" customFormat="false" ht="15" hidden="false" customHeight="false" outlineLevel="0" collapsed="false">
      <c r="A35" s="10" t="s">
        <v>86</v>
      </c>
      <c r="B35" s="35" t="n">
        <v>0</v>
      </c>
      <c r="C35" s="35" t="n">
        <v>0</v>
      </c>
      <c r="D35" s="35" t="n">
        <v>0</v>
      </c>
      <c r="E35" s="35" t="n">
        <v>0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  <c r="N35" s="45" t="n">
        <f aca="false">SUM(B35:M35)</f>
        <v>0</v>
      </c>
    </row>
    <row r="36" customFormat="false" ht="15" hidden="false" customHeight="false" outlineLevel="0" collapsed="false">
      <c r="A36" s="13" t="s">
        <v>87</v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0</v>
      </c>
      <c r="H36" s="37" t="n">
        <v>0</v>
      </c>
      <c r="I36" s="37" t="n">
        <v>0</v>
      </c>
      <c r="J36" s="37" t="n">
        <v>0</v>
      </c>
      <c r="K36" s="37" t="n">
        <v>0</v>
      </c>
      <c r="L36" s="37" t="n">
        <v>0</v>
      </c>
      <c r="M36" s="37" t="n">
        <v>0</v>
      </c>
      <c r="N36" s="45" t="n">
        <f aca="false">SUM(B36:M36)</f>
        <v>0</v>
      </c>
    </row>
    <row r="37" customFormat="false" ht="15" hidden="false" customHeight="false" outlineLevel="0" collapsed="false">
      <c r="A37" s="10" t="s">
        <v>88</v>
      </c>
      <c r="B37" s="35" t="n">
        <v>0</v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45" t="n">
        <f aca="false">SUM(B37:M37)</f>
        <v>0</v>
      </c>
    </row>
    <row r="38" customFormat="false" ht="15" hidden="false" customHeight="false" outlineLevel="0" collapsed="false">
      <c r="A38" s="13" t="s">
        <v>89</v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0</v>
      </c>
      <c r="H38" s="37" t="n">
        <v>0</v>
      </c>
      <c r="I38" s="37" t="n">
        <v>0</v>
      </c>
      <c r="J38" s="37" t="n">
        <v>0</v>
      </c>
      <c r="K38" s="37" t="n">
        <v>0</v>
      </c>
      <c r="L38" s="37" t="n">
        <v>0</v>
      </c>
      <c r="M38" s="37" t="n">
        <v>0</v>
      </c>
      <c r="N38" s="45" t="n">
        <f aca="false">SUM(B38:M38)</f>
        <v>0</v>
      </c>
    </row>
    <row r="39" customFormat="false" ht="15" hidden="false" customHeight="false" outlineLevel="0" collapsed="false">
      <c r="A39" s="46" t="s">
        <v>90</v>
      </c>
      <c r="B39" s="45" t="n">
        <f aca="false">SUM(B25:B38)</f>
        <v>0</v>
      </c>
      <c r="C39" s="45" t="n">
        <f aca="false">SUM(C25:C38)</f>
        <v>0</v>
      </c>
      <c r="D39" s="45" t="n">
        <f aca="false">SUM(D25:D38)</f>
        <v>0</v>
      </c>
      <c r="E39" s="45" t="n">
        <f aca="false">SUM(E25:E38)</f>
        <v>0</v>
      </c>
      <c r="F39" s="45" t="n">
        <f aca="false">SUM(F25:F38)</f>
        <v>0</v>
      </c>
      <c r="G39" s="45" t="n">
        <f aca="false">SUM(G25:G38)</f>
        <v>0</v>
      </c>
      <c r="H39" s="45" t="n">
        <f aca="false">SUM(H25:H38)</f>
        <v>0</v>
      </c>
      <c r="I39" s="45" t="n">
        <f aca="false">SUM(I25:I38)</f>
        <v>0</v>
      </c>
      <c r="J39" s="45" t="n">
        <f aca="false">SUM(J25:J38)</f>
        <v>0</v>
      </c>
      <c r="K39" s="45" t="n">
        <f aca="false">SUM(K25:K38)</f>
        <v>0</v>
      </c>
      <c r="L39" s="45" t="n">
        <f aca="false">SUM(L25:L38)</f>
        <v>0</v>
      </c>
      <c r="M39" s="45" t="n">
        <f aca="false">SUM(M25:M38)</f>
        <v>0</v>
      </c>
      <c r="N39" s="45" t="n">
        <f aca="false">SUM(B39:M39)</f>
        <v>0</v>
      </c>
    </row>
    <row r="41" customFormat="false" ht="15" hidden="false" customHeight="false" outlineLevel="0" collapsed="false">
      <c r="A41" s="47" t="s">
        <v>91</v>
      </c>
      <c r="B41" s="48" t="n">
        <f aca="false">B21+B39</f>
        <v>0</v>
      </c>
      <c r="C41" s="48" t="n">
        <f aca="false">C21+C39</f>
        <v>0</v>
      </c>
      <c r="D41" s="48" t="n">
        <f aca="false">D21+D39</f>
        <v>0</v>
      </c>
      <c r="E41" s="48" t="n">
        <f aca="false">E21+E39</f>
        <v>0</v>
      </c>
      <c r="F41" s="48" t="n">
        <f aca="false">F21+F39</f>
        <v>0</v>
      </c>
      <c r="G41" s="48" t="n">
        <f aca="false">G21+G39</f>
        <v>0</v>
      </c>
      <c r="H41" s="48" t="n">
        <f aca="false">H21+H39</f>
        <v>0</v>
      </c>
      <c r="I41" s="48" t="n">
        <f aca="false">I21+I39</f>
        <v>0</v>
      </c>
      <c r="J41" s="48" t="n">
        <f aca="false">J21+J39</f>
        <v>0</v>
      </c>
      <c r="K41" s="48" t="n">
        <f aca="false">K21+K39</f>
        <v>0</v>
      </c>
      <c r="L41" s="48" t="n">
        <f aca="false">L21+L39</f>
        <v>0</v>
      </c>
      <c r="M41" s="48" t="n">
        <f aca="false">M21+M39</f>
        <v>0</v>
      </c>
      <c r="N41" s="48" t="n">
        <f aca="false">SUM(B41:M41)</f>
        <v>0</v>
      </c>
    </row>
  </sheetData>
  <mergeCells count="3">
    <mergeCell ref="A1:N1"/>
    <mergeCell ref="A5:N5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49" t="s">
        <v>92</v>
      </c>
      <c r="B1" s="49"/>
      <c r="C1" s="49"/>
      <c r="D1" s="49"/>
      <c r="E1" s="49"/>
      <c r="F1" s="49"/>
      <c r="G1" s="49"/>
      <c r="H1" s="49"/>
      <c r="I1" s="49"/>
    </row>
    <row r="3" customFormat="false" ht="15" hidden="false" customHeight="false" outlineLevel="0" collapsed="false">
      <c r="A3" s="2" t="s">
        <v>93</v>
      </c>
      <c r="B3" s="2"/>
      <c r="C3" s="2"/>
      <c r="D3" s="2"/>
      <c r="E3" s="2"/>
      <c r="F3" s="2"/>
      <c r="G3" s="2"/>
      <c r="H3" s="2"/>
      <c r="I3" s="2"/>
    </row>
    <row r="5" customFormat="false" ht="26.85" hidden="false" customHeight="false" outlineLevel="0" collapsed="false">
      <c r="A5" s="16" t="s">
        <v>94</v>
      </c>
      <c r="B5" s="16" t="s">
        <v>95</v>
      </c>
      <c r="C5" s="16" t="s">
        <v>96</v>
      </c>
      <c r="D5" s="16" t="s">
        <v>97</v>
      </c>
      <c r="E5" s="16" t="s">
        <v>98</v>
      </c>
      <c r="F5" s="16" t="s">
        <v>99</v>
      </c>
      <c r="G5" s="16" t="s">
        <v>100</v>
      </c>
      <c r="H5" s="16" t="s">
        <v>101</v>
      </c>
      <c r="I5" s="16" t="s">
        <v>102</v>
      </c>
    </row>
    <row r="6" customFormat="false" ht="15" hidden="false" customHeight="false" outlineLevel="0" collapsed="false">
      <c r="A6" s="50"/>
      <c r="B6" s="50"/>
      <c r="C6" s="35" t="n">
        <v>0</v>
      </c>
      <c r="D6" s="35" t="n">
        <v>0</v>
      </c>
      <c r="E6" s="51" t="n">
        <v>0</v>
      </c>
      <c r="F6" s="35" t="n">
        <v>0</v>
      </c>
      <c r="G6" s="52" t="n">
        <v>0</v>
      </c>
      <c r="H6" s="19" t="n">
        <f aca="false">F6*G6</f>
        <v>0</v>
      </c>
      <c r="I6" s="19" t="n">
        <f aca="false">IFERROR(H6-D6,0)</f>
        <v>0</v>
      </c>
    </row>
    <row r="7" customFormat="false" ht="15" hidden="false" customHeight="false" outlineLevel="0" collapsed="false">
      <c r="A7" s="53"/>
      <c r="B7" s="53"/>
      <c r="C7" s="37" t="n">
        <v>0</v>
      </c>
      <c r="D7" s="37" t="n">
        <v>0</v>
      </c>
      <c r="E7" s="54" t="n">
        <v>0</v>
      </c>
      <c r="F7" s="37" t="n">
        <v>0</v>
      </c>
      <c r="G7" s="55" t="n">
        <v>0</v>
      </c>
      <c r="H7" s="23" t="n">
        <f aca="false">F7*G7</f>
        <v>0</v>
      </c>
      <c r="I7" s="23" t="n">
        <f aca="false">IFERROR(H7-D7,0)</f>
        <v>0</v>
      </c>
    </row>
    <row r="8" customFormat="false" ht="15" hidden="false" customHeight="false" outlineLevel="0" collapsed="false">
      <c r="A8" s="50"/>
      <c r="B8" s="50"/>
      <c r="C8" s="35" t="n">
        <v>0</v>
      </c>
      <c r="D8" s="35" t="n">
        <v>0</v>
      </c>
      <c r="E8" s="51" t="n">
        <v>0</v>
      </c>
      <c r="F8" s="35" t="n">
        <v>0</v>
      </c>
      <c r="G8" s="52" t="n">
        <v>0</v>
      </c>
      <c r="H8" s="19" t="n">
        <f aca="false">F8*G8</f>
        <v>0</v>
      </c>
      <c r="I8" s="19" t="n">
        <f aca="false">IFERROR(H8-D8,0)</f>
        <v>0</v>
      </c>
    </row>
    <row r="9" customFormat="false" ht="15" hidden="false" customHeight="false" outlineLevel="0" collapsed="false">
      <c r="A9" s="53"/>
      <c r="B9" s="53"/>
      <c r="C9" s="37" t="n">
        <v>0</v>
      </c>
      <c r="D9" s="37" t="n">
        <v>0</v>
      </c>
      <c r="E9" s="54" t="n">
        <v>0</v>
      </c>
      <c r="F9" s="37" t="n">
        <v>0</v>
      </c>
      <c r="G9" s="55" t="n">
        <v>0</v>
      </c>
      <c r="H9" s="23" t="n">
        <f aca="false">F9*G9</f>
        <v>0</v>
      </c>
      <c r="I9" s="23" t="n">
        <f aca="false">IFERROR(H9-D9,0)</f>
        <v>0</v>
      </c>
    </row>
    <row r="10" customFormat="false" ht="15" hidden="false" customHeight="false" outlineLevel="0" collapsed="false">
      <c r="A10" s="50"/>
      <c r="B10" s="50"/>
      <c r="C10" s="35" t="n">
        <v>0</v>
      </c>
      <c r="D10" s="35" t="n">
        <v>0</v>
      </c>
      <c r="E10" s="51" t="n">
        <v>0</v>
      </c>
      <c r="F10" s="35" t="n">
        <v>0</v>
      </c>
      <c r="G10" s="52" t="n">
        <v>0</v>
      </c>
      <c r="H10" s="19" t="n">
        <f aca="false">F10*G10</f>
        <v>0</v>
      </c>
      <c r="I10" s="19" t="n">
        <f aca="false">IFERROR(H10-D10,0)</f>
        <v>0</v>
      </c>
    </row>
    <row r="11" customFormat="false" ht="15" hidden="false" customHeight="false" outlineLevel="0" collapsed="false">
      <c r="A11" s="53"/>
      <c r="B11" s="53"/>
      <c r="C11" s="37" t="n">
        <v>0</v>
      </c>
      <c r="D11" s="37" t="n">
        <v>0</v>
      </c>
      <c r="E11" s="54" t="n">
        <v>0</v>
      </c>
      <c r="F11" s="37" t="n">
        <v>0</v>
      </c>
      <c r="G11" s="55" t="n">
        <v>0</v>
      </c>
      <c r="H11" s="23" t="n">
        <f aca="false">F11*G11</f>
        <v>0</v>
      </c>
      <c r="I11" s="23" t="n">
        <f aca="false">IFERROR(H11-D11,0)</f>
        <v>0</v>
      </c>
    </row>
    <row r="12" customFormat="false" ht="15" hidden="false" customHeight="false" outlineLevel="0" collapsed="false">
      <c r="A12" s="50"/>
      <c r="B12" s="50"/>
      <c r="C12" s="35" t="n">
        <v>0</v>
      </c>
      <c r="D12" s="35" t="n">
        <v>0</v>
      </c>
      <c r="E12" s="51" t="n">
        <v>0</v>
      </c>
      <c r="F12" s="35" t="n">
        <v>0</v>
      </c>
      <c r="G12" s="52" t="n">
        <v>0</v>
      </c>
      <c r="H12" s="19" t="n">
        <f aca="false">F12*G12</f>
        <v>0</v>
      </c>
      <c r="I12" s="19" t="n">
        <f aca="false">IFERROR(H12-D12,0)</f>
        <v>0</v>
      </c>
    </row>
    <row r="13" customFormat="false" ht="15" hidden="false" customHeight="false" outlineLevel="0" collapsed="false">
      <c r="A13" s="53"/>
      <c r="B13" s="53"/>
      <c r="C13" s="37" t="n">
        <v>0</v>
      </c>
      <c r="D13" s="37" t="n">
        <v>0</v>
      </c>
      <c r="E13" s="54" t="n">
        <v>0</v>
      </c>
      <c r="F13" s="37" t="n">
        <v>0</v>
      </c>
      <c r="G13" s="55" t="n">
        <v>0</v>
      </c>
      <c r="H13" s="23" t="n">
        <f aca="false">F13*G13</f>
        <v>0</v>
      </c>
      <c r="I13" s="23" t="n">
        <f aca="false">IFERROR(H13-D13,0)</f>
        <v>0</v>
      </c>
    </row>
    <row r="14" customFormat="false" ht="15" hidden="false" customHeight="false" outlineLevel="0" collapsed="false">
      <c r="A14" s="50"/>
      <c r="B14" s="50"/>
      <c r="C14" s="35" t="n">
        <v>0</v>
      </c>
      <c r="D14" s="35" t="n">
        <v>0</v>
      </c>
      <c r="E14" s="51" t="n">
        <v>0</v>
      </c>
      <c r="F14" s="35" t="n">
        <v>0</v>
      </c>
      <c r="G14" s="52" t="n">
        <v>0</v>
      </c>
      <c r="H14" s="19" t="n">
        <f aca="false">F14*G14</f>
        <v>0</v>
      </c>
      <c r="I14" s="19" t="n">
        <f aca="false">IFERROR(H14-D14,0)</f>
        <v>0</v>
      </c>
    </row>
    <row r="15" customFormat="false" ht="15" hidden="false" customHeight="false" outlineLevel="0" collapsed="false">
      <c r="A15" s="53"/>
      <c r="B15" s="53"/>
      <c r="C15" s="37" t="n">
        <v>0</v>
      </c>
      <c r="D15" s="37" t="n">
        <v>0</v>
      </c>
      <c r="E15" s="54" t="n">
        <v>0</v>
      </c>
      <c r="F15" s="37" t="n">
        <v>0</v>
      </c>
      <c r="G15" s="55" t="n">
        <v>0</v>
      </c>
      <c r="H15" s="23" t="n">
        <f aca="false">F15*G15</f>
        <v>0</v>
      </c>
      <c r="I15" s="23" t="n">
        <f aca="false">IFERROR(H15-D15,0)</f>
        <v>0</v>
      </c>
    </row>
    <row r="16" customFormat="false" ht="15" hidden="false" customHeight="false" outlineLevel="0" collapsed="false">
      <c r="A16" s="50"/>
      <c r="B16" s="50"/>
      <c r="C16" s="35" t="n">
        <v>0</v>
      </c>
      <c r="D16" s="35" t="n">
        <v>0</v>
      </c>
      <c r="E16" s="51" t="n">
        <v>0</v>
      </c>
      <c r="F16" s="35" t="n">
        <v>0</v>
      </c>
      <c r="G16" s="52" t="n">
        <v>0</v>
      </c>
      <c r="H16" s="19" t="n">
        <f aca="false">F16*G16</f>
        <v>0</v>
      </c>
      <c r="I16" s="19" t="n">
        <f aca="false">IFERROR(H16-D16,0)</f>
        <v>0</v>
      </c>
    </row>
    <row r="17" customFormat="false" ht="15" hidden="false" customHeight="false" outlineLevel="0" collapsed="false">
      <c r="A17" s="53"/>
      <c r="B17" s="53"/>
      <c r="C17" s="37" t="n">
        <v>0</v>
      </c>
      <c r="D17" s="37" t="n">
        <v>0</v>
      </c>
      <c r="E17" s="54" t="n">
        <v>0</v>
      </c>
      <c r="F17" s="37" t="n">
        <v>0</v>
      </c>
      <c r="G17" s="55" t="n">
        <v>0</v>
      </c>
      <c r="H17" s="23" t="n">
        <f aca="false">F17*G17</f>
        <v>0</v>
      </c>
      <c r="I17" s="23" t="n">
        <f aca="false">IFERROR(H17-D17,0)</f>
        <v>0</v>
      </c>
    </row>
    <row r="18" customFormat="false" ht="15" hidden="false" customHeight="false" outlineLevel="0" collapsed="false">
      <c r="A18" s="25" t="s">
        <v>103</v>
      </c>
      <c r="B18" s="56"/>
      <c r="C18" s="26" t="n">
        <f aca="false">SUM(C6:C17)</f>
        <v>0</v>
      </c>
      <c r="D18" s="26" t="n">
        <f aca="false">SUM(D6:D17)</f>
        <v>0</v>
      </c>
      <c r="E18" s="56"/>
      <c r="F18" s="26" t="n">
        <f aca="false">SUM(F6:F17)</f>
        <v>0</v>
      </c>
      <c r="G18" s="56"/>
      <c r="H18" s="26" t="n">
        <f aca="false">SUM(H6:H17)</f>
        <v>0</v>
      </c>
      <c r="I18" s="26" t="n">
        <f aca="false">SUM(I6:I17)</f>
        <v>0</v>
      </c>
    </row>
    <row r="21" customFormat="false" ht="21.75" hidden="false" customHeight="true" outlineLevel="0" collapsed="false">
      <c r="A21" s="3" t="s">
        <v>104</v>
      </c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10" t="s">
        <v>105</v>
      </c>
      <c r="B22" s="10"/>
      <c r="C22" s="10"/>
      <c r="D22" s="10"/>
      <c r="E22" s="10"/>
      <c r="F22" s="57" t="n">
        <f aca="false">F18</f>
        <v>0</v>
      </c>
      <c r="G22" s="57"/>
      <c r="H22" s="57"/>
      <c r="I22" s="57"/>
    </row>
    <row r="23" customFormat="false" ht="15" hidden="false" customHeight="false" outlineLevel="0" collapsed="false">
      <c r="A23" s="10" t="s">
        <v>106</v>
      </c>
      <c r="B23" s="10"/>
      <c r="C23" s="10"/>
      <c r="D23" s="10"/>
      <c r="E23" s="10"/>
      <c r="F23" s="57" t="n">
        <f aca="false">D18</f>
        <v>0</v>
      </c>
      <c r="G23" s="57"/>
      <c r="H23" s="57"/>
      <c r="I23" s="57"/>
    </row>
    <row r="24" customFormat="false" ht="15" hidden="false" customHeight="false" outlineLevel="0" collapsed="false">
      <c r="A24" s="10" t="s">
        <v>107</v>
      </c>
      <c r="B24" s="10"/>
      <c r="C24" s="10"/>
      <c r="D24" s="10"/>
      <c r="E24" s="10"/>
      <c r="F24" s="57" t="n">
        <f aca="false">I18</f>
        <v>0</v>
      </c>
      <c r="G24" s="57"/>
      <c r="H24" s="57"/>
      <c r="I24" s="57"/>
    </row>
    <row r="25" customFormat="false" ht="15" hidden="false" customHeight="false" outlineLevel="0" collapsed="false">
      <c r="A25" s="10" t="s">
        <v>108</v>
      </c>
      <c r="B25" s="10"/>
      <c r="C25" s="10"/>
      <c r="D25" s="10"/>
      <c r="E25" s="10"/>
      <c r="F25" s="11" t="n">
        <f aca="false">IFERROR(I18/D18,0)</f>
        <v>0</v>
      </c>
      <c r="G25" s="11"/>
      <c r="H25" s="11"/>
      <c r="I25" s="11"/>
    </row>
    <row r="26" customFormat="false" ht="15" hidden="false" customHeight="false" outlineLevel="0" collapsed="false">
      <c r="A26" s="10" t="s">
        <v>109</v>
      </c>
      <c r="B26" s="10"/>
      <c r="C26" s="10"/>
      <c r="D26" s="10"/>
      <c r="E26" s="10"/>
      <c r="F26" s="11" t="n">
        <f aca="false">IFERROR(F18/(Entradas!N17/12),0)</f>
        <v>0</v>
      </c>
      <c r="G26" s="11"/>
      <c r="H26" s="11"/>
      <c r="I26" s="11"/>
    </row>
  </sheetData>
  <mergeCells count="13">
    <mergeCell ref="A1:I1"/>
    <mergeCell ref="A3:I3"/>
    <mergeCell ref="A21:I21"/>
    <mergeCell ref="A22:E22"/>
    <mergeCell ref="F22:I22"/>
    <mergeCell ref="A23:E23"/>
    <mergeCell ref="F23:I23"/>
    <mergeCell ref="A24:E24"/>
    <mergeCell ref="F24:I24"/>
    <mergeCell ref="A25:E25"/>
    <mergeCell ref="F25:I25"/>
    <mergeCell ref="A26:E26"/>
    <mergeCell ref="F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49" t="s">
        <v>110</v>
      </c>
      <c r="B1" s="49"/>
      <c r="C1" s="49"/>
      <c r="D1" s="49"/>
      <c r="E1" s="49"/>
      <c r="F1" s="49"/>
      <c r="G1" s="49"/>
    </row>
    <row r="3" customFormat="false" ht="15" hidden="false" customHeight="false" outlineLevel="0" collapsed="false">
      <c r="A3" s="58" t="s">
        <v>111</v>
      </c>
      <c r="B3" s="58"/>
      <c r="C3" s="58"/>
      <c r="D3" s="58"/>
      <c r="E3" s="58"/>
      <c r="F3" s="58"/>
      <c r="G3" s="58"/>
    </row>
    <row r="4" customFormat="false" ht="15" hidden="false" customHeight="false" outlineLevel="0" collapsed="false">
      <c r="A4" s="10" t="s">
        <v>112</v>
      </c>
      <c r="B4" s="59" t="n">
        <v>0.045</v>
      </c>
    </row>
    <row r="5" customFormat="false" ht="15" hidden="false" customHeight="false" outlineLevel="0" collapsed="false">
      <c r="A5" s="10" t="s">
        <v>113</v>
      </c>
      <c r="B5" s="59" t="n">
        <v>0.03</v>
      </c>
    </row>
    <row r="6" customFormat="false" ht="15" hidden="false" customHeight="false" outlineLevel="0" collapsed="false">
      <c r="A6" s="10" t="s">
        <v>114</v>
      </c>
      <c r="B6" s="59" t="n">
        <v>0.1</v>
      </c>
    </row>
    <row r="7" customFormat="false" ht="15" hidden="false" customHeight="false" outlineLevel="0" collapsed="false">
      <c r="A7" s="10" t="s">
        <v>115</v>
      </c>
      <c r="B7" s="59" t="n">
        <v>0.8</v>
      </c>
    </row>
    <row r="8" customFormat="false" ht="15" hidden="false" customHeight="false" outlineLevel="0" collapsed="false">
      <c r="A8" s="10" t="s">
        <v>116</v>
      </c>
      <c r="B8" s="60" t="n">
        <v>0</v>
      </c>
    </row>
    <row r="10" customFormat="false" ht="15" hidden="false" customHeight="false" outlineLevel="0" collapsed="false">
      <c r="A10" s="16" t="s">
        <v>117</v>
      </c>
      <c r="B10" s="16" t="s">
        <v>118</v>
      </c>
      <c r="C10" s="16" t="s">
        <v>119</v>
      </c>
      <c r="D10" s="16" t="s">
        <v>22</v>
      </c>
      <c r="E10" s="16" t="s">
        <v>120</v>
      </c>
      <c r="F10" s="16" t="s">
        <v>121</v>
      </c>
      <c r="G10" s="16" t="s">
        <v>122</v>
      </c>
    </row>
    <row r="11" customFormat="false" ht="15" hidden="false" customHeight="false" outlineLevel="0" collapsed="false">
      <c r="A11" s="61" t="n">
        <v>2026</v>
      </c>
      <c r="B11" s="18" t="n">
        <f aca="false">Entradas!N17</f>
        <v>0</v>
      </c>
      <c r="C11" s="18" t="n">
        <f aca="false">Saídas!N41</f>
        <v>0</v>
      </c>
      <c r="D11" s="18" t="n">
        <f aca="false">Empréstimos!F18*12</f>
        <v>0</v>
      </c>
      <c r="E11" s="19" t="n">
        <f aca="false">B11-C11-D11</f>
        <v>0</v>
      </c>
      <c r="F11" s="62" t="n">
        <f aca="false">MAX(E11*$B$7,0)</f>
        <v>0</v>
      </c>
      <c r="G11" s="36" t="n">
        <f aca="false">$B$8*(1+$B$6)+F11</f>
        <v>0</v>
      </c>
    </row>
    <row r="12" customFormat="false" ht="15" hidden="false" customHeight="false" outlineLevel="0" collapsed="false">
      <c r="A12" s="63" t="n">
        <v>2027</v>
      </c>
      <c r="B12" s="64" t="n">
        <f aca="false">B11*(1+$B$4+$B$5)</f>
        <v>0</v>
      </c>
      <c r="C12" s="64" t="n">
        <f aca="false">C11*(1+$B$4)</f>
        <v>0</v>
      </c>
      <c r="D12" s="64" t="n">
        <f aca="false">MAX(D11-D11*0.2,0)</f>
        <v>0</v>
      </c>
      <c r="E12" s="23" t="n">
        <f aca="false">B12-C12-D12</f>
        <v>0</v>
      </c>
      <c r="F12" s="64" t="n">
        <f aca="false">MAX(E12*$B$7,0)</f>
        <v>0</v>
      </c>
      <c r="G12" s="36" t="n">
        <f aca="false">G11*(1+$B$6)+F12</f>
        <v>0</v>
      </c>
    </row>
    <row r="13" customFormat="false" ht="15" hidden="false" customHeight="false" outlineLevel="0" collapsed="false">
      <c r="A13" s="61" t="n">
        <v>2028</v>
      </c>
      <c r="B13" s="62" t="n">
        <f aca="false">B12*(1+$B$4+$B$5)</f>
        <v>0</v>
      </c>
      <c r="C13" s="62" t="n">
        <f aca="false">C12*(1+$B$4)</f>
        <v>0</v>
      </c>
      <c r="D13" s="62" t="n">
        <f aca="false">MAX(D12-D12*0.2,0)</f>
        <v>0</v>
      </c>
      <c r="E13" s="19" t="n">
        <f aca="false">B13-C13-D13</f>
        <v>0</v>
      </c>
      <c r="F13" s="62" t="n">
        <f aca="false">MAX(E13*$B$7,0)</f>
        <v>0</v>
      </c>
      <c r="G13" s="36" t="n">
        <f aca="false">G12*(1+$B$6)+F13</f>
        <v>0</v>
      </c>
    </row>
    <row r="14" customFormat="false" ht="15" hidden="false" customHeight="false" outlineLevel="0" collapsed="false">
      <c r="A14" s="63" t="n">
        <v>2029</v>
      </c>
      <c r="B14" s="64" t="n">
        <f aca="false">B13*(1+$B$4+$B$5)</f>
        <v>0</v>
      </c>
      <c r="C14" s="64" t="n">
        <f aca="false">C13*(1+$B$4)</f>
        <v>0</v>
      </c>
      <c r="D14" s="64" t="n">
        <f aca="false">MAX(D13-D13*0.2,0)</f>
        <v>0</v>
      </c>
      <c r="E14" s="23" t="n">
        <f aca="false">B14-C14-D14</f>
        <v>0</v>
      </c>
      <c r="F14" s="64" t="n">
        <f aca="false">MAX(E14*$B$7,0)</f>
        <v>0</v>
      </c>
      <c r="G14" s="36" t="n">
        <f aca="false">G13*(1+$B$6)+F14</f>
        <v>0</v>
      </c>
    </row>
    <row r="15" customFormat="false" ht="15" hidden="false" customHeight="false" outlineLevel="0" collapsed="false">
      <c r="A15" s="61" t="n">
        <v>2030</v>
      </c>
      <c r="B15" s="62" t="n">
        <f aca="false">B14*(1+$B$4+$B$5)</f>
        <v>0</v>
      </c>
      <c r="C15" s="62" t="n">
        <f aca="false">C14*(1+$B$4)</f>
        <v>0</v>
      </c>
      <c r="D15" s="62" t="n">
        <f aca="false">MAX(D14-D14*0.2,0)</f>
        <v>0</v>
      </c>
      <c r="E15" s="19" t="n">
        <f aca="false">B15-C15-D15</f>
        <v>0</v>
      </c>
      <c r="F15" s="62" t="n">
        <f aca="false">MAX(E15*$B$7,0)</f>
        <v>0</v>
      </c>
      <c r="G15" s="36" t="n">
        <f aca="false">G14*(1+$B$6)+F15</f>
        <v>0</v>
      </c>
    </row>
    <row r="16" customFormat="false" ht="15" hidden="false" customHeight="false" outlineLevel="0" collapsed="false">
      <c r="A16" s="65" t="s">
        <v>123</v>
      </c>
      <c r="B16" s="66" t="n">
        <f aca="false">IFERROR(B15/B11-1,0)</f>
        <v>0</v>
      </c>
      <c r="C16" s="66" t="n">
        <f aca="false">IFERROR(C15/C11-1,0)</f>
        <v>0</v>
      </c>
      <c r="D16" s="28"/>
      <c r="E16" s="66" t="n">
        <f aca="false">IFERROR(E15/E11-1,0)</f>
        <v>0</v>
      </c>
      <c r="F16" s="28"/>
      <c r="G16" s="66" t="n">
        <f aca="false">IFERROR(G15/G11-1,0)</f>
        <v>0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8"/>
  </cols>
  <sheetData>
    <row r="1" customFormat="false" ht="27.75" hidden="false" customHeight="true" outlineLevel="0" collapsed="false">
      <c r="A1" s="49" t="s">
        <v>124</v>
      </c>
      <c r="B1" s="49"/>
      <c r="C1" s="49"/>
      <c r="D1" s="49"/>
    </row>
    <row r="3" customFormat="false" ht="15" hidden="false" customHeight="false" outlineLevel="0" collapsed="false">
      <c r="A3" s="16" t="s">
        <v>125</v>
      </c>
      <c r="B3" s="16" t="s">
        <v>126</v>
      </c>
      <c r="C3" s="16" t="s">
        <v>127</v>
      </c>
      <c r="D3" s="16" t="s">
        <v>128</v>
      </c>
    </row>
    <row r="4" customFormat="false" ht="15" hidden="false" customHeight="false" outlineLevel="0" collapsed="false">
      <c r="A4" s="67" t="s">
        <v>45</v>
      </c>
      <c r="B4" s="67" t="s">
        <v>60</v>
      </c>
      <c r="C4" s="67" t="s">
        <v>76</v>
      </c>
      <c r="D4" s="67" t="s">
        <v>129</v>
      </c>
    </row>
    <row r="5" customFormat="false" ht="15" hidden="false" customHeight="false" outlineLevel="0" collapsed="false">
      <c r="A5" s="68" t="s">
        <v>46</v>
      </c>
      <c r="B5" s="68" t="s">
        <v>61</v>
      </c>
      <c r="C5" s="68" t="s">
        <v>77</v>
      </c>
      <c r="D5" s="68" t="s">
        <v>130</v>
      </c>
    </row>
    <row r="6" customFormat="false" ht="15" hidden="false" customHeight="false" outlineLevel="0" collapsed="false">
      <c r="A6" s="67" t="s">
        <v>47</v>
      </c>
      <c r="B6" s="67" t="s">
        <v>62</v>
      </c>
      <c r="C6" s="67" t="s">
        <v>78</v>
      </c>
      <c r="D6" s="67" t="s">
        <v>131</v>
      </c>
    </row>
    <row r="7" customFormat="false" ht="15" hidden="false" customHeight="false" outlineLevel="0" collapsed="false">
      <c r="A7" s="68" t="s">
        <v>48</v>
      </c>
      <c r="B7" s="68" t="s">
        <v>63</v>
      </c>
      <c r="C7" s="68" t="s">
        <v>79</v>
      </c>
      <c r="D7" s="68" t="s">
        <v>132</v>
      </c>
    </row>
    <row r="8" customFormat="false" ht="15" hidden="false" customHeight="false" outlineLevel="0" collapsed="false">
      <c r="A8" s="67" t="s">
        <v>49</v>
      </c>
      <c r="B8" s="67" t="s">
        <v>64</v>
      </c>
      <c r="C8" s="67" t="s">
        <v>80</v>
      </c>
      <c r="D8" s="67" t="s">
        <v>133</v>
      </c>
    </row>
    <row r="9" customFormat="false" ht="15" hidden="false" customHeight="false" outlineLevel="0" collapsed="false">
      <c r="A9" s="68" t="s">
        <v>50</v>
      </c>
      <c r="B9" s="68" t="s">
        <v>65</v>
      </c>
      <c r="C9" s="68" t="s">
        <v>81</v>
      </c>
      <c r="D9" s="68" t="s">
        <v>134</v>
      </c>
    </row>
    <row r="10" customFormat="false" ht="15" hidden="false" customHeight="false" outlineLevel="0" collapsed="false">
      <c r="A10" s="67" t="s">
        <v>51</v>
      </c>
      <c r="B10" s="67" t="s">
        <v>66</v>
      </c>
      <c r="C10" s="67" t="s">
        <v>82</v>
      </c>
      <c r="D10" s="67" t="s">
        <v>135</v>
      </c>
    </row>
    <row r="11" customFormat="false" ht="15" hidden="false" customHeight="false" outlineLevel="0" collapsed="false">
      <c r="A11" s="68" t="s">
        <v>52</v>
      </c>
      <c r="B11" s="68" t="s">
        <v>67</v>
      </c>
      <c r="C11" s="68" t="s">
        <v>83</v>
      </c>
      <c r="D11" s="68" t="s">
        <v>136</v>
      </c>
    </row>
    <row r="12" customFormat="false" ht="15" hidden="false" customHeight="false" outlineLevel="0" collapsed="false">
      <c r="A12" s="67" t="s">
        <v>53</v>
      </c>
      <c r="B12" s="67" t="s">
        <v>68</v>
      </c>
      <c r="C12" s="67" t="s">
        <v>84</v>
      </c>
      <c r="D12" s="67"/>
    </row>
    <row r="13" customFormat="false" ht="15" hidden="false" customHeight="false" outlineLevel="0" collapsed="false">
      <c r="A13" s="68" t="s">
        <v>54</v>
      </c>
      <c r="B13" s="68" t="s">
        <v>69</v>
      </c>
      <c r="C13" s="68" t="s">
        <v>85</v>
      </c>
      <c r="D13" s="68"/>
    </row>
    <row r="14" customFormat="false" ht="15" hidden="false" customHeight="false" outlineLevel="0" collapsed="false">
      <c r="A14" s="67" t="s">
        <v>137</v>
      </c>
      <c r="B14" s="67" t="s">
        <v>70</v>
      </c>
      <c r="C14" s="67" t="s">
        <v>86</v>
      </c>
      <c r="D14" s="67"/>
    </row>
    <row r="15" customFormat="false" ht="15" hidden="false" customHeight="false" outlineLevel="0" collapsed="false">
      <c r="A15" s="68"/>
      <c r="B15" s="68" t="s">
        <v>71</v>
      </c>
      <c r="C15" s="68" t="s">
        <v>87</v>
      </c>
      <c r="D15" s="68"/>
    </row>
    <row r="16" customFormat="false" ht="15" hidden="false" customHeight="false" outlineLevel="0" collapsed="false">
      <c r="A16" s="67"/>
      <c r="B16" s="67" t="s">
        <v>72</v>
      </c>
      <c r="C16" s="67" t="s">
        <v>88</v>
      </c>
      <c r="D16" s="67"/>
    </row>
    <row r="17" customFormat="false" ht="15" hidden="false" customHeight="false" outlineLevel="0" collapsed="false">
      <c r="A17" s="68"/>
      <c r="B17" s="68" t="s">
        <v>73</v>
      </c>
      <c r="C17" s="68" t="s">
        <v>89</v>
      </c>
      <c r="D17" s="6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2026-05-28T18:23:47Z</dcterms:created>
  <dc:creator>openpyxl</dc:creator>
  <dc:description/>
  <dc:language>en-US</dc:language>
  <cp:lastModifiedBy/>
  <dcterms:modified xsi:type="dcterms:W3CDTF">2026-05-28T18:23:52Z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